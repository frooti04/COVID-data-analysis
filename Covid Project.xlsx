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283a02369bc20066/Documents/"/>
    </mc:Choice>
  </mc:AlternateContent>
  <xr:revisionPtr revIDLastSave="745" documentId="8_{D79BC523-4A87-4431-873D-08307B111FCA}" xr6:coauthVersionLast="47" xr6:coauthVersionMax="47" xr10:uidLastSave="{72BC2308-1619-44C1-A884-757248C9E5E1}"/>
  <bookViews>
    <workbookView xWindow="-108" yWindow="-108" windowWidth="23256" windowHeight="13176" activeTab="2" xr2:uid="{D97D4687-23A9-43F1-AD65-431C4F2F6B35}"/>
  </bookViews>
  <sheets>
    <sheet name="Raw Data" sheetId="1" r:id="rId1"/>
    <sheet name="Analysis" sheetId="3" r:id="rId2"/>
    <sheet name="Dashboard" sheetId="4" r:id="rId3"/>
  </sheets>
  <definedNames>
    <definedName name="Slicer_Country">#N/A</definedName>
    <definedName name="Slicer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4" l="1"/>
  <c r="C5" i="4"/>
  <c r="B5" i="4"/>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2" i="1"/>
</calcChain>
</file>

<file path=xl/sharedStrings.xml><?xml version="1.0" encoding="utf-8"?>
<sst xmlns="http://schemas.openxmlformats.org/spreadsheetml/2006/main" count="110" uniqueCount="29">
  <si>
    <t>Date</t>
  </si>
  <si>
    <t>Country</t>
  </si>
  <si>
    <t>Confirmed Cases</t>
  </si>
  <si>
    <t>Deaths</t>
  </si>
  <si>
    <t>Recovered</t>
  </si>
  <si>
    <t>Active Cases</t>
  </si>
  <si>
    <t>India</t>
  </si>
  <si>
    <t>USA</t>
  </si>
  <si>
    <t>UK</t>
  </si>
  <si>
    <t>Korea</t>
  </si>
  <si>
    <t>Spain</t>
  </si>
  <si>
    <t>China</t>
  </si>
  <si>
    <t>Japan</t>
  </si>
  <si>
    <t>Venezuela</t>
  </si>
  <si>
    <t>Recovery Rate (%)</t>
  </si>
  <si>
    <t>Death Rate (%)</t>
  </si>
  <si>
    <t>Row Labels</t>
  </si>
  <si>
    <t>Grand Total</t>
  </si>
  <si>
    <t>Sum of Confirmed Cases</t>
  </si>
  <si>
    <t>Sum of Deaths</t>
  </si>
  <si>
    <t>Sum of Active Cases</t>
  </si>
  <si>
    <t>Average of Recovery Rate (%)</t>
  </si>
  <si>
    <t>Total Cases by Country</t>
  </si>
  <si>
    <t>Total Deaths by Country</t>
  </si>
  <si>
    <t>Avg Recovery Rate</t>
  </si>
  <si>
    <t>COVID-19 Dashboard</t>
  </si>
  <si>
    <t>Total Cases</t>
  </si>
  <si>
    <t>Total Deaths</t>
  </si>
  <si>
    <t>Total Recovered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</si>
</sst>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4"/>
      <color theme="5"/>
      <name val="Arial Rounded MT Bold"/>
      <family val="2"/>
    </font>
    <font>
      <b/>
      <sz val="16"/>
      <color theme="5"/>
      <name val="Aptos Display"/>
      <family val="2"/>
      <scheme val="major"/>
    </font>
    <font>
      <b/>
      <sz val="22"/>
      <color theme="5"/>
      <name val="Algerian"/>
      <family val="5"/>
    </font>
    <font>
      <b/>
      <sz val="18"/>
      <color theme="1"/>
      <name val="Algerian"/>
      <family val="5"/>
    </font>
    <font>
      <b/>
      <sz val="26"/>
      <color theme="5"/>
      <name val="Algerian"/>
      <family val="5"/>
    </font>
    <font>
      <b/>
      <sz val="22"/>
      <color theme="5"/>
      <name val="Aptos Narrow"/>
      <family val="2"/>
      <scheme val="minor"/>
    </font>
    <font>
      <b/>
      <sz val="28"/>
      <color theme="5"/>
      <name val="Algerian"/>
      <family val="5"/>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14" fontId="0" fillId="0" borderId="0" xfId="0" applyNumberFormat="1" applyAlignment="1">
      <alignment horizontal="center"/>
    </xf>
    <xf numFmtId="0" fontId="0" fillId="0" borderId="0" xfId="0" applyAlignment="1">
      <alignment horizontal="center"/>
    </xf>
    <xf numFmtId="1" fontId="0" fillId="0" borderId="0" xfId="0" applyNumberFormat="1" applyAlignment="1">
      <alignment horizontal="center"/>
    </xf>
    <xf numFmtId="1" fontId="0" fillId="0" borderId="0" xfId="0" applyNumberFormat="1"/>
    <xf numFmtId="14" fontId="1" fillId="0" borderId="0" xfId="0" applyNumberFormat="1" applyFont="1" applyAlignment="1">
      <alignment horizontal="center" vertical="center"/>
    </xf>
    <xf numFmtId="0" fontId="1" fillId="0" borderId="0" xfId="0" applyFont="1" applyAlignment="1">
      <alignment horizontal="center" vertical="center"/>
    </xf>
    <xf numFmtId="1" fontId="1" fillId="0" borderId="0" xfId="0" applyNumberFormat="1" applyFont="1" applyAlignment="1">
      <alignment horizontal="center" vertical="center"/>
    </xf>
    <xf numFmtId="0" fontId="1" fillId="0" borderId="0" xfId="0" applyFont="1" applyAlignment="1">
      <alignment vertical="center"/>
    </xf>
    <xf numFmtId="0" fontId="0" fillId="0" borderId="0" xfId="0" pivotButton="1"/>
    <xf numFmtId="0" fontId="0" fillId="0" borderId="0" xfId="0" applyAlignment="1">
      <alignment horizontal="left"/>
    </xf>
    <xf numFmtId="0" fontId="2" fillId="0" borderId="0" xfId="0" applyFont="1"/>
    <xf numFmtId="0" fontId="3" fillId="0" borderId="0" xfId="0" applyFont="1"/>
    <xf numFmtId="0" fontId="4" fillId="0" borderId="0" xfId="0" applyFont="1"/>
    <xf numFmtId="0" fontId="0" fillId="0" borderId="0" xfId="0" applyNumberFormat="1"/>
    <xf numFmtId="0" fontId="5" fillId="0" borderId="0" xfId="0" applyFont="1"/>
    <xf numFmtId="0" fontId="6" fillId="0" borderId="0" xfId="0" applyFont="1"/>
    <xf numFmtId="0" fontId="3" fillId="0" borderId="1" xfId="0" applyFont="1" applyBorder="1" applyAlignment="1">
      <alignment horizontal="center"/>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[Covid Project.xlsx]Analysis!PivotTable2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Cases by Country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Analysis!$C$4:$C$12</c:f>
              <c:strCache>
                <c:ptCount val="8"/>
                <c:pt idx="0">
                  <c:v>China</c:v>
                </c:pt>
                <c:pt idx="1">
                  <c:v>India</c:v>
                </c:pt>
                <c:pt idx="2">
                  <c:v>Japan</c:v>
                </c:pt>
                <c:pt idx="3">
                  <c:v>Korea</c:v>
                </c:pt>
                <c:pt idx="4">
                  <c:v>Spain</c:v>
                </c:pt>
                <c:pt idx="5">
                  <c:v>UK</c:v>
                </c:pt>
                <c:pt idx="6">
                  <c:v>USA</c:v>
                </c:pt>
                <c:pt idx="7">
                  <c:v>Venezuela</c:v>
                </c:pt>
              </c:strCache>
            </c:strRef>
          </c:cat>
          <c:val>
            <c:numRef>
              <c:f>Analysis!$D$4:$D$12</c:f>
              <c:numCache>
                <c:formatCode>General</c:formatCode>
                <c:ptCount val="8"/>
                <c:pt idx="0">
                  <c:v>188555</c:v>
                </c:pt>
                <c:pt idx="1">
                  <c:v>66652</c:v>
                </c:pt>
                <c:pt idx="2">
                  <c:v>29000</c:v>
                </c:pt>
                <c:pt idx="3">
                  <c:v>116900</c:v>
                </c:pt>
                <c:pt idx="4">
                  <c:v>101632</c:v>
                </c:pt>
                <c:pt idx="5">
                  <c:v>121076</c:v>
                </c:pt>
                <c:pt idx="6">
                  <c:v>62427</c:v>
                </c:pt>
                <c:pt idx="7">
                  <c:v>74425</c:v>
                </c:pt>
              </c:numCache>
            </c:numRef>
          </c:val>
          <c:extLst>
            <c:ext xmlns:c16="http://schemas.microsoft.com/office/drawing/2014/chart" uri="{C3380CC4-5D6E-409C-BE32-E72D297353CC}">
              <c16:uniqueId val="{00000000-B369-4D83-A464-8EAD3E393D59}"/>
            </c:ext>
          </c:extLst>
        </c:ser>
        <c:dLbls>
          <c:dLblPos val="outEnd"/>
          <c:showLegendKey val="0"/>
          <c:showVal val="1"/>
          <c:showCatName val="0"/>
          <c:showSerName val="0"/>
          <c:showPercent val="0"/>
          <c:showBubbleSize val="0"/>
        </c:dLbls>
        <c:gapWidth val="182"/>
        <c:axId val="2024212239"/>
        <c:axId val="2024209839"/>
      </c:barChart>
      <c:catAx>
        <c:axId val="202421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4209839"/>
        <c:crosses val="autoZero"/>
        <c:auto val="1"/>
        <c:lblAlgn val="ctr"/>
        <c:lblOffset val="100"/>
        <c:noMultiLvlLbl val="0"/>
      </c:catAx>
      <c:valAx>
        <c:axId val="2024209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421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[Covid Project.xlsx]Analysis!PivotTable3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Deaths by Country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Analysis!$G$4:$G$12</c:f>
              <c:strCache>
                <c:ptCount val="8"/>
                <c:pt idx="0">
                  <c:v>China</c:v>
                </c:pt>
                <c:pt idx="1">
                  <c:v>India</c:v>
                </c:pt>
                <c:pt idx="2">
                  <c:v>Japan</c:v>
                </c:pt>
                <c:pt idx="3">
                  <c:v>Korea</c:v>
                </c:pt>
                <c:pt idx="4">
                  <c:v>Spain</c:v>
                </c:pt>
                <c:pt idx="5">
                  <c:v>UK</c:v>
                </c:pt>
                <c:pt idx="6">
                  <c:v>USA</c:v>
                </c:pt>
                <c:pt idx="7">
                  <c:v>Venezuela</c:v>
                </c:pt>
              </c:strCache>
            </c:strRef>
          </c:cat>
          <c:val>
            <c:numRef>
              <c:f>Analysis!$H$4:$H$12</c:f>
              <c:numCache>
                <c:formatCode>General</c:formatCode>
                <c:ptCount val="8"/>
                <c:pt idx="0">
                  <c:v>5428</c:v>
                </c:pt>
                <c:pt idx="1">
                  <c:v>6137</c:v>
                </c:pt>
                <c:pt idx="2">
                  <c:v>2954</c:v>
                </c:pt>
                <c:pt idx="3">
                  <c:v>3280</c:v>
                </c:pt>
                <c:pt idx="4">
                  <c:v>2320</c:v>
                </c:pt>
                <c:pt idx="5">
                  <c:v>4971</c:v>
                </c:pt>
                <c:pt idx="6">
                  <c:v>5915</c:v>
                </c:pt>
                <c:pt idx="7">
                  <c:v>2022</c:v>
                </c:pt>
              </c:numCache>
            </c:numRef>
          </c:val>
          <c:extLst>
            <c:ext xmlns:c16="http://schemas.microsoft.com/office/drawing/2014/chart" uri="{C3380CC4-5D6E-409C-BE32-E72D297353CC}">
              <c16:uniqueId val="{00000000-E41E-49EC-9518-9FE9F0154E14}"/>
            </c:ext>
          </c:extLst>
        </c:ser>
        <c:dLbls>
          <c:dLblPos val="outEnd"/>
          <c:showLegendKey val="0"/>
          <c:showVal val="1"/>
          <c:showCatName val="0"/>
          <c:showSerName val="0"/>
          <c:showPercent val="0"/>
          <c:showBubbleSize val="0"/>
        </c:dLbls>
        <c:gapWidth val="219"/>
        <c:overlap val="-27"/>
        <c:axId val="244087935"/>
        <c:axId val="244087455"/>
      </c:barChart>
      <c:catAx>
        <c:axId val="2440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4087455"/>
        <c:crosses val="autoZero"/>
        <c:auto val="1"/>
        <c:lblAlgn val="ctr"/>
        <c:lblOffset val="100"/>
        <c:noMultiLvlLbl val="0"/>
      </c:catAx>
      <c:valAx>
        <c:axId val="24408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408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Project.xlsx]Analysis!PivotTable5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Recovery Rate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Analysis!$P$3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E90-418D-BB28-8DB8AFEB9CD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E90-418D-BB28-8DB8AFEB9CD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E90-418D-BB28-8DB8AFEB9CD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E90-418D-BB28-8DB8AFEB9CD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E90-418D-BB28-8DB8AFEB9CD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E90-418D-BB28-8DB8AFEB9CD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E90-418D-BB28-8DB8AFEB9CD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E90-418D-BB28-8DB8AFEB9C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Analysis!$O$4:$O$12</c:f>
              <c:strCache>
                <c:ptCount val="8"/>
                <c:pt idx="0">
                  <c:v>China</c:v>
                </c:pt>
                <c:pt idx="1">
                  <c:v>India</c:v>
                </c:pt>
                <c:pt idx="2">
                  <c:v>Japan</c:v>
                </c:pt>
                <c:pt idx="3">
                  <c:v>Korea</c:v>
                </c:pt>
                <c:pt idx="4">
                  <c:v>Spain</c:v>
                </c:pt>
                <c:pt idx="5">
                  <c:v>UK</c:v>
                </c:pt>
                <c:pt idx="6">
                  <c:v>USA</c:v>
                </c:pt>
                <c:pt idx="7">
                  <c:v>Venezuela</c:v>
                </c:pt>
              </c:strCache>
            </c:strRef>
          </c:cat>
          <c:val>
            <c:numRef>
              <c:f>Analysis!$P$4:$P$12</c:f>
              <c:numCache>
                <c:formatCode>0</c:formatCode>
                <c:ptCount val="8"/>
                <c:pt idx="0">
                  <c:v>540.6648099280992</c:v>
                </c:pt>
                <c:pt idx="1">
                  <c:v>543.52961306964744</c:v>
                </c:pt>
                <c:pt idx="2">
                  <c:v>231.29431818181817</c:v>
                </c:pt>
                <c:pt idx="3">
                  <c:v>418.62888278388277</c:v>
                </c:pt>
                <c:pt idx="4">
                  <c:v>272.92635416666667</c:v>
                </c:pt>
                <c:pt idx="5">
                  <c:v>366.43971859056865</c:v>
                </c:pt>
                <c:pt idx="6">
                  <c:v>559.93697700354176</c:v>
                </c:pt>
                <c:pt idx="7">
                  <c:v>311.4515584415584</c:v>
                </c:pt>
              </c:numCache>
            </c:numRef>
          </c:val>
          <c:extLst>
            <c:ext xmlns:c16="http://schemas.microsoft.com/office/drawing/2014/chart" uri="{C3380CC4-5D6E-409C-BE32-E72D297353CC}">
              <c16:uniqueId val="{00000000-0503-4209-A3B5-AD76A935329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[Covid Project.xlsx]Analysis!PivotTable4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Active</a:t>
            </a:r>
            <a:r>
              <a:rPr lang="en-US" b="1" baseline="0"/>
              <a:t> Cases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Analysis!$L$3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Analysis!$K$4:$K$12</c:f>
              <c:strCache>
                <c:ptCount val="8"/>
                <c:pt idx="0">
                  <c:v>China</c:v>
                </c:pt>
                <c:pt idx="1">
                  <c:v>India</c:v>
                </c:pt>
                <c:pt idx="2">
                  <c:v>Japan</c:v>
                </c:pt>
                <c:pt idx="3">
                  <c:v>Korea</c:v>
                </c:pt>
                <c:pt idx="4">
                  <c:v>Spain</c:v>
                </c:pt>
                <c:pt idx="5">
                  <c:v>UK</c:v>
                </c:pt>
                <c:pt idx="6">
                  <c:v>USA</c:v>
                </c:pt>
                <c:pt idx="7">
                  <c:v>Venezuela</c:v>
                </c:pt>
              </c:strCache>
            </c:strRef>
          </c:cat>
          <c:val>
            <c:numRef>
              <c:f>Analysis!$L$4:$L$12</c:f>
              <c:numCache>
                <c:formatCode>General</c:formatCode>
                <c:ptCount val="8"/>
                <c:pt idx="0">
                  <c:v>52474</c:v>
                </c:pt>
                <c:pt idx="1">
                  <c:v>16968</c:v>
                </c:pt>
                <c:pt idx="2">
                  <c:v>7658</c:v>
                </c:pt>
                <c:pt idx="3">
                  <c:v>31340</c:v>
                </c:pt>
                <c:pt idx="4">
                  <c:v>14363</c:v>
                </c:pt>
                <c:pt idx="5">
                  <c:v>66387</c:v>
                </c:pt>
                <c:pt idx="6">
                  <c:v>15009</c:v>
                </c:pt>
                <c:pt idx="7">
                  <c:v>4865</c:v>
                </c:pt>
              </c:numCache>
            </c:numRef>
          </c:val>
          <c:extLst>
            <c:ext xmlns:c16="http://schemas.microsoft.com/office/drawing/2014/chart" uri="{C3380CC4-5D6E-409C-BE32-E72D297353CC}">
              <c16:uniqueId val="{00000000-A4EB-4295-86E0-84B08D2AE605}"/>
            </c:ext>
          </c:extLst>
        </c:ser>
        <c:dLbls>
          <c:dLblPos val="ctr"/>
          <c:showLegendKey val="0"/>
          <c:showVal val="1"/>
          <c:showCatName val="0"/>
          <c:showSerName val="0"/>
          <c:showPercent val="0"/>
          <c:showBubbleSize val="0"/>
        </c:dLbls>
        <c:gapWidth val="150"/>
        <c:overlap val="100"/>
        <c:axId val="2071899199"/>
        <c:axId val="2071905919"/>
      </c:barChart>
      <c:catAx>
        <c:axId val="207189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1905919"/>
        <c:crosses val="autoZero"/>
        <c:auto val="1"/>
        <c:lblAlgn val="ctr"/>
        <c:lblOffset val="100"/>
        <c:noMultiLvlLbl val="0"/>
      </c:catAx>
      <c:valAx>
        <c:axId val="2071905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189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[Covid Project.xlsx]Analysis!PivotTable2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Cases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Analysis!$C$4:$C$12</c:f>
              <c:strCache>
                <c:ptCount val="8"/>
                <c:pt idx="0">
                  <c:v>China</c:v>
                </c:pt>
                <c:pt idx="1">
                  <c:v>India</c:v>
                </c:pt>
                <c:pt idx="2">
                  <c:v>Japan</c:v>
                </c:pt>
                <c:pt idx="3">
                  <c:v>Korea</c:v>
                </c:pt>
                <c:pt idx="4">
                  <c:v>Spain</c:v>
                </c:pt>
                <c:pt idx="5">
                  <c:v>UK</c:v>
                </c:pt>
                <c:pt idx="6">
                  <c:v>USA</c:v>
                </c:pt>
                <c:pt idx="7">
                  <c:v>Venezuela</c:v>
                </c:pt>
              </c:strCache>
            </c:strRef>
          </c:cat>
          <c:val>
            <c:numRef>
              <c:f>Analysis!$D$4:$D$12</c:f>
              <c:numCache>
                <c:formatCode>General</c:formatCode>
                <c:ptCount val="8"/>
                <c:pt idx="0">
                  <c:v>188555</c:v>
                </c:pt>
                <c:pt idx="1">
                  <c:v>66652</c:v>
                </c:pt>
                <c:pt idx="2">
                  <c:v>29000</c:v>
                </c:pt>
                <c:pt idx="3">
                  <c:v>116900</c:v>
                </c:pt>
                <c:pt idx="4">
                  <c:v>101632</c:v>
                </c:pt>
                <c:pt idx="5">
                  <c:v>121076</c:v>
                </c:pt>
                <c:pt idx="6">
                  <c:v>62427</c:v>
                </c:pt>
                <c:pt idx="7">
                  <c:v>74425</c:v>
                </c:pt>
              </c:numCache>
            </c:numRef>
          </c:val>
          <c:extLst>
            <c:ext xmlns:c16="http://schemas.microsoft.com/office/drawing/2014/chart" uri="{C3380CC4-5D6E-409C-BE32-E72D297353CC}">
              <c16:uniqueId val="{00000000-894A-4BC1-BDF9-75387D0E37F5}"/>
            </c:ext>
          </c:extLst>
        </c:ser>
        <c:dLbls>
          <c:dLblPos val="outEnd"/>
          <c:showLegendKey val="0"/>
          <c:showVal val="1"/>
          <c:showCatName val="0"/>
          <c:showSerName val="0"/>
          <c:showPercent val="0"/>
          <c:showBubbleSize val="0"/>
        </c:dLbls>
        <c:gapWidth val="115"/>
        <c:overlap val="-20"/>
        <c:axId val="2024212239"/>
        <c:axId val="2024209839"/>
      </c:barChart>
      <c:catAx>
        <c:axId val="20242122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4209839"/>
        <c:crosses val="autoZero"/>
        <c:auto val="1"/>
        <c:lblAlgn val="ctr"/>
        <c:lblOffset val="100"/>
        <c:noMultiLvlLbl val="0"/>
      </c:catAx>
      <c:valAx>
        <c:axId val="20242098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421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[Covid Project.xlsx]Analysis!PivotTable3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Deaths by Country</a:t>
            </a:r>
          </a:p>
        </c:rich>
      </c:tx>
      <c:layout>
        <c:manualLayout>
          <c:xMode val="edge"/>
          <c:yMode val="edge"/>
          <c:x val="0.29763657524806719"/>
          <c:y val="6.335983549206786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Analysis!$G$4:$G$12</c:f>
              <c:strCache>
                <c:ptCount val="8"/>
                <c:pt idx="0">
                  <c:v>China</c:v>
                </c:pt>
                <c:pt idx="1">
                  <c:v>India</c:v>
                </c:pt>
                <c:pt idx="2">
                  <c:v>Japan</c:v>
                </c:pt>
                <c:pt idx="3">
                  <c:v>Korea</c:v>
                </c:pt>
                <c:pt idx="4">
                  <c:v>Spain</c:v>
                </c:pt>
                <c:pt idx="5">
                  <c:v>UK</c:v>
                </c:pt>
                <c:pt idx="6">
                  <c:v>USA</c:v>
                </c:pt>
                <c:pt idx="7">
                  <c:v>Venezuela</c:v>
                </c:pt>
              </c:strCache>
            </c:strRef>
          </c:cat>
          <c:val>
            <c:numRef>
              <c:f>Analysis!$H$4:$H$12</c:f>
              <c:numCache>
                <c:formatCode>General</c:formatCode>
                <c:ptCount val="8"/>
                <c:pt idx="0">
                  <c:v>5428</c:v>
                </c:pt>
                <c:pt idx="1">
                  <c:v>6137</c:v>
                </c:pt>
                <c:pt idx="2">
                  <c:v>2954</c:v>
                </c:pt>
                <c:pt idx="3">
                  <c:v>3280</c:v>
                </c:pt>
                <c:pt idx="4">
                  <c:v>2320</c:v>
                </c:pt>
                <c:pt idx="5">
                  <c:v>4971</c:v>
                </c:pt>
                <c:pt idx="6">
                  <c:v>5915</c:v>
                </c:pt>
                <c:pt idx="7">
                  <c:v>2022</c:v>
                </c:pt>
              </c:numCache>
            </c:numRef>
          </c:val>
          <c:extLst>
            <c:ext xmlns:c16="http://schemas.microsoft.com/office/drawing/2014/chart" uri="{C3380CC4-5D6E-409C-BE32-E72D297353CC}">
              <c16:uniqueId val="{00000000-85AC-44F8-8138-A18BFA2B78DE}"/>
            </c:ext>
          </c:extLst>
        </c:ser>
        <c:dLbls>
          <c:dLblPos val="outEnd"/>
          <c:showLegendKey val="0"/>
          <c:showVal val="1"/>
          <c:showCatName val="0"/>
          <c:showSerName val="0"/>
          <c:showPercent val="0"/>
          <c:showBubbleSize val="0"/>
        </c:dLbls>
        <c:gapWidth val="315"/>
        <c:overlap val="-40"/>
        <c:axId val="244087935"/>
        <c:axId val="244087455"/>
      </c:barChart>
      <c:catAx>
        <c:axId val="2440879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44087455"/>
        <c:crosses val="autoZero"/>
        <c:auto val="1"/>
        <c:lblAlgn val="ctr"/>
        <c:lblOffset val="100"/>
        <c:noMultiLvlLbl val="0"/>
      </c:catAx>
      <c:valAx>
        <c:axId val="244087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4408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[Covid Project.xlsx]Analysis!PivotTable4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Active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Analysis!$L$3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Analysis!$K$4:$K$12</c:f>
              <c:strCache>
                <c:ptCount val="8"/>
                <c:pt idx="0">
                  <c:v>China</c:v>
                </c:pt>
                <c:pt idx="1">
                  <c:v>India</c:v>
                </c:pt>
                <c:pt idx="2">
                  <c:v>Japan</c:v>
                </c:pt>
                <c:pt idx="3">
                  <c:v>Korea</c:v>
                </c:pt>
                <c:pt idx="4">
                  <c:v>Spain</c:v>
                </c:pt>
                <c:pt idx="5">
                  <c:v>UK</c:v>
                </c:pt>
                <c:pt idx="6">
                  <c:v>USA</c:v>
                </c:pt>
                <c:pt idx="7">
                  <c:v>Venezuela</c:v>
                </c:pt>
              </c:strCache>
            </c:strRef>
          </c:cat>
          <c:val>
            <c:numRef>
              <c:f>Analysis!$L$4:$L$12</c:f>
              <c:numCache>
                <c:formatCode>General</c:formatCode>
                <c:ptCount val="8"/>
                <c:pt idx="0">
                  <c:v>52474</c:v>
                </c:pt>
                <c:pt idx="1">
                  <c:v>16968</c:v>
                </c:pt>
                <c:pt idx="2">
                  <c:v>7658</c:v>
                </c:pt>
                <c:pt idx="3">
                  <c:v>31340</c:v>
                </c:pt>
                <c:pt idx="4">
                  <c:v>14363</c:v>
                </c:pt>
                <c:pt idx="5">
                  <c:v>66387</c:v>
                </c:pt>
                <c:pt idx="6">
                  <c:v>15009</c:v>
                </c:pt>
                <c:pt idx="7">
                  <c:v>4865</c:v>
                </c:pt>
              </c:numCache>
            </c:numRef>
          </c:val>
          <c:extLst>
            <c:ext xmlns:c16="http://schemas.microsoft.com/office/drawing/2014/chart" uri="{C3380CC4-5D6E-409C-BE32-E72D297353CC}">
              <c16:uniqueId val="{00000000-BC05-408F-863F-A9780863E3FB}"/>
            </c:ext>
          </c:extLst>
        </c:ser>
        <c:dLbls>
          <c:dLblPos val="ctr"/>
          <c:showLegendKey val="0"/>
          <c:showVal val="1"/>
          <c:showCatName val="0"/>
          <c:showSerName val="0"/>
          <c:showPercent val="0"/>
          <c:showBubbleSize val="0"/>
        </c:dLbls>
        <c:gapWidth val="150"/>
        <c:overlap val="100"/>
        <c:axId val="2071899199"/>
        <c:axId val="2071905919"/>
      </c:barChart>
      <c:catAx>
        <c:axId val="20718991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71905919"/>
        <c:crosses val="autoZero"/>
        <c:auto val="1"/>
        <c:lblAlgn val="ctr"/>
        <c:lblOffset val="100"/>
        <c:noMultiLvlLbl val="0"/>
      </c:catAx>
      <c:valAx>
        <c:axId val="20719059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7189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Project.xlsx]Analysis!PivotTable5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Recovery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5"/>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Analysis!$P$3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D15-453A-8B04-222567FBE5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D15-453A-8B04-222567FBE5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D15-453A-8B04-222567FBE5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D15-453A-8B04-222567FBE5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D15-453A-8B04-222567FBE52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D15-453A-8B04-222567FBE52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D15-453A-8B04-222567FBE52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0D15-453A-8B04-222567FBE5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Analysis!$O$4:$O$12</c:f>
              <c:strCache>
                <c:ptCount val="8"/>
                <c:pt idx="0">
                  <c:v>China</c:v>
                </c:pt>
                <c:pt idx="1">
                  <c:v>India</c:v>
                </c:pt>
                <c:pt idx="2">
                  <c:v>Japan</c:v>
                </c:pt>
                <c:pt idx="3">
                  <c:v>Korea</c:v>
                </c:pt>
                <c:pt idx="4">
                  <c:v>Spain</c:v>
                </c:pt>
                <c:pt idx="5">
                  <c:v>UK</c:v>
                </c:pt>
                <c:pt idx="6">
                  <c:v>USA</c:v>
                </c:pt>
                <c:pt idx="7">
                  <c:v>Venezuela</c:v>
                </c:pt>
              </c:strCache>
            </c:strRef>
          </c:cat>
          <c:val>
            <c:numRef>
              <c:f>Analysis!$P$4:$P$12</c:f>
              <c:numCache>
                <c:formatCode>0</c:formatCode>
                <c:ptCount val="8"/>
                <c:pt idx="0">
                  <c:v>540.6648099280992</c:v>
                </c:pt>
                <c:pt idx="1">
                  <c:v>543.52961306964744</c:v>
                </c:pt>
                <c:pt idx="2">
                  <c:v>231.29431818181817</c:v>
                </c:pt>
                <c:pt idx="3">
                  <c:v>418.62888278388277</c:v>
                </c:pt>
                <c:pt idx="4">
                  <c:v>272.92635416666667</c:v>
                </c:pt>
                <c:pt idx="5">
                  <c:v>366.43971859056865</c:v>
                </c:pt>
                <c:pt idx="6">
                  <c:v>559.93697700354176</c:v>
                </c:pt>
                <c:pt idx="7">
                  <c:v>311.4515584415584</c:v>
                </c:pt>
              </c:numCache>
            </c:numRef>
          </c:val>
          <c:extLst>
            <c:ext xmlns:c16="http://schemas.microsoft.com/office/drawing/2014/chart" uri="{C3380CC4-5D6E-409C-BE32-E72D297353CC}">
              <c16:uniqueId val="{00000010-0D15-453A-8B04-222567FBE52A}"/>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273729</xdr:colOff>
      <xdr:row>15</xdr:row>
      <xdr:rowOff>136592</xdr:rowOff>
    </xdr:from>
    <xdr:to>
      <xdr:col>3</xdr:col>
      <xdr:colOff>1455421</xdr:colOff>
      <xdr:row>30</xdr:row>
      <xdr:rowOff>136592</xdr:rowOff>
    </xdr:to>
    <xdr:graphicFrame macro="">
      <xdr:nvGraphicFramePr>
        <xdr:cNvPr id="2" name="Chart 1">
          <a:extLst>
            <a:ext uri="{FF2B5EF4-FFF2-40B4-BE49-F238E27FC236}">
              <a16:creationId xmlns:a16="http://schemas.microsoft.com/office/drawing/2014/main" id="{093CAB38-F0F0-960F-1351-4A0E7ECCE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392097</xdr:colOff>
      <xdr:row>15</xdr:row>
      <xdr:rowOff>159679</xdr:rowOff>
    </xdr:from>
    <xdr:to>
      <xdr:col>8</xdr:col>
      <xdr:colOff>433431</xdr:colOff>
      <xdr:row>30</xdr:row>
      <xdr:rowOff>159679</xdr:rowOff>
    </xdr:to>
    <xdr:graphicFrame macro="">
      <xdr:nvGraphicFramePr>
        <xdr:cNvPr id="3" name="Chart 2">
          <a:extLst>
            <a:ext uri="{FF2B5EF4-FFF2-40B4-BE49-F238E27FC236}">
              <a16:creationId xmlns:a16="http://schemas.microsoft.com/office/drawing/2014/main" id="{FA682AAA-B7BC-BC13-5A00-09D0DFE29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433657</xdr:colOff>
      <xdr:row>15</xdr:row>
      <xdr:rowOff>29512</xdr:rowOff>
    </xdr:from>
    <xdr:to>
      <xdr:col>18</xdr:col>
      <xdr:colOff>63348</xdr:colOff>
      <xdr:row>30</xdr:row>
      <xdr:rowOff>29512</xdr:rowOff>
    </xdr:to>
    <xdr:graphicFrame macro="">
      <xdr:nvGraphicFramePr>
        <xdr:cNvPr id="4" name="Chart 3">
          <a:extLst>
            <a:ext uri="{FF2B5EF4-FFF2-40B4-BE49-F238E27FC236}">
              <a16:creationId xmlns:a16="http://schemas.microsoft.com/office/drawing/2014/main" id="{038BEB4B-B41D-E30C-692F-DEB79C66F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258932</xdr:colOff>
      <xdr:row>15</xdr:row>
      <xdr:rowOff>117939</xdr:rowOff>
    </xdr:from>
    <xdr:to>
      <xdr:col>14</xdr:col>
      <xdr:colOff>170156</xdr:colOff>
      <xdr:row>30</xdr:row>
      <xdr:rowOff>117939</xdr:rowOff>
    </xdr:to>
    <xdr:graphicFrame macro="">
      <xdr:nvGraphicFramePr>
        <xdr:cNvPr id="5" name="Chart 4">
          <a:extLst>
            <a:ext uri="{FF2B5EF4-FFF2-40B4-BE49-F238E27FC236}">
              <a16:creationId xmlns:a16="http://schemas.microsoft.com/office/drawing/2014/main" id="{D219B661-C436-0808-9D83-D1CCDAD02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289560</xdr:colOff>
      <xdr:row>9</xdr:row>
      <xdr:rowOff>175259</xdr:rowOff>
    </xdr:from>
    <xdr:to>
      <xdr:col>2</xdr:col>
      <xdr:colOff>2111566</xdr:colOff>
      <xdr:row>26</xdr:row>
      <xdr:rowOff>128529</xdr:rowOff>
    </xdr:to>
    <xdr:graphicFrame macro="">
      <xdr:nvGraphicFramePr>
        <xdr:cNvPr id="2" name="Chart 1">
          <a:extLst>
            <a:ext uri="{FF2B5EF4-FFF2-40B4-BE49-F238E27FC236}">
              <a16:creationId xmlns:a16="http://schemas.microsoft.com/office/drawing/2014/main" id="{DC86B876-7F3C-4422-A70A-654B186DA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456924</xdr:colOff>
      <xdr:row>9</xdr:row>
      <xdr:rowOff>167639</xdr:rowOff>
    </xdr:from>
    <xdr:to>
      <xdr:col>5</xdr:col>
      <xdr:colOff>422313</xdr:colOff>
      <xdr:row>26</xdr:row>
      <xdr:rowOff>110169</xdr:rowOff>
    </xdr:to>
    <xdr:graphicFrame macro="">
      <xdr:nvGraphicFramePr>
        <xdr:cNvPr id="3" name="Chart 2">
          <a:extLst>
            <a:ext uri="{FF2B5EF4-FFF2-40B4-BE49-F238E27FC236}">
              <a16:creationId xmlns:a16="http://schemas.microsoft.com/office/drawing/2014/main" id="{C3BDC33A-6418-4D7A-AEDC-3BAFFB4DE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274871</xdr:colOff>
      <xdr:row>9</xdr:row>
      <xdr:rowOff>170762</xdr:rowOff>
    </xdr:from>
    <xdr:to>
      <xdr:col>13</xdr:col>
      <xdr:colOff>266241</xdr:colOff>
      <xdr:row>26</xdr:row>
      <xdr:rowOff>110169</xdr:rowOff>
    </xdr:to>
    <xdr:graphicFrame macro="">
      <xdr:nvGraphicFramePr>
        <xdr:cNvPr id="4" name="Chart 3">
          <a:extLst>
            <a:ext uri="{FF2B5EF4-FFF2-40B4-BE49-F238E27FC236}">
              <a16:creationId xmlns:a16="http://schemas.microsoft.com/office/drawing/2014/main" id="{FB9EFCD7-0717-4023-A05B-E19650788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78863</xdr:colOff>
      <xdr:row>9</xdr:row>
      <xdr:rowOff>196741</xdr:rowOff>
    </xdr:from>
    <xdr:to>
      <xdr:col>21</xdr:col>
      <xdr:colOff>257060</xdr:colOff>
      <xdr:row>26</xdr:row>
      <xdr:rowOff>128530</xdr:rowOff>
    </xdr:to>
    <xdr:graphicFrame macro="">
      <xdr:nvGraphicFramePr>
        <xdr:cNvPr id="5" name="Chart 4">
          <a:extLst>
            <a:ext uri="{FF2B5EF4-FFF2-40B4-BE49-F238E27FC236}">
              <a16:creationId xmlns:a16="http://schemas.microsoft.com/office/drawing/2014/main" id="{219EA351-79CB-49F2-8EB6-62F1C771A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129455</xdr:colOff>
      <xdr:row>30</xdr:row>
      <xdr:rowOff>101530</xdr:rowOff>
    </xdr:from>
    <xdr:to>
      <xdr:col>3</xdr:col>
      <xdr:colOff>2588216</xdr:colOff>
      <xdr:row>45</xdr:row>
      <xdr:rowOff>81221</xdr:rowOff>
    </xdr:to>
    <mc:AlternateContent xmlns:mc="http://schemas.openxmlformats.org/markup-compatibility/2006">
      <mc:Choice xmlns:a14="http://schemas.microsoft.com/office/drawing/2010/main" Requires="a14">
        <xdr:graphicFrame macro="">
          <xdr:nvGraphicFramePr>
            <xdr:cNvPr id="6" name="Date">
              <a:extLst>
                <a:ext uri="{FF2B5EF4-FFF2-40B4-BE49-F238E27FC236}">
                  <a16:creationId xmlns:a16="http://schemas.microsoft.com/office/drawing/2014/main" id="{6C1EFE4F-BA8A-9F25-7AA6-4155ED79A2F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164098" y="6823459"/>
              <a:ext cx="2458761" cy="2701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743997</xdr:colOff>
      <xdr:row>30</xdr:row>
      <xdr:rowOff>77665</xdr:rowOff>
    </xdr:from>
    <xdr:to>
      <xdr:col>2</xdr:col>
      <xdr:colOff>1056378</xdr:colOff>
      <xdr:row>45</xdr:row>
      <xdr:rowOff>111785</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77573BE3-FCF8-CB61-E66C-AD4B3D4C9DC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51783" y="6799594"/>
              <a:ext cx="2516738" cy="2755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ooti" refreshedDate="46133.060864236111" createdVersion="8" refreshedVersion="8" minRefreshableVersion="3" recordCount="50" xr:uid="{64642923-8903-4286-A39E-D1C8F5ECE8C6}">
  <cacheSource type="worksheet">
    <worksheetSource ref="A1:H51" sheet="Raw Data"/>
  </cacheSource>
  <cacheFields count="8">
    <cacheField name="Date" numFmtId="14">
      <sharedItems containsSemiMixedTypes="0" containsNonDate="0" containsDate="1" containsString="0" minDate="2021-01-01T00:00:00" maxDate="2021-02-19T00:00:00" count="15">
        <d v="2021-01-01T00:00:00"/>
        <d v="2021-01-04T00:00:00"/>
        <d v="2021-01-07T00:00:00"/>
        <d v="2021-01-11T00:00:00"/>
        <d v="2021-01-14T00:00:00"/>
        <d v="2021-01-18T00:00:00"/>
        <d v="2021-01-20T00:00:00"/>
        <d v="2021-01-25T00:00:00"/>
        <d v="2021-01-29T00:00:00"/>
        <d v="2021-02-01T00:00:00"/>
        <d v="2021-02-04T00:00:00"/>
        <d v="2021-02-08T00:00:00"/>
        <d v="2021-02-10T00:00:00"/>
        <d v="2021-02-15T00:00:00"/>
        <d v="2021-02-18T00:00:00"/>
      </sharedItems>
    </cacheField>
    <cacheField name="Country" numFmtId="0">
      <sharedItems count="8">
        <s v="India"/>
        <s v="USA"/>
        <s v="UK"/>
        <s v="Korea"/>
        <s v="Spain"/>
        <s v="China"/>
        <s v="Japan"/>
        <s v="Venezuela"/>
      </sharedItems>
    </cacheField>
    <cacheField name="Confirmed Cases" numFmtId="0">
      <sharedItems containsSemiMixedTypes="0" containsString="0" containsNumber="1" containsInteger="1" minValue="900" maxValue="80000"/>
    </cacheField>
    <cacheField name="Deaths" numFmtId="0">
      <sharedItems containsSemiMixedTypes="0" containsString="0" containsNumber="1" containsInteger="1" minValue="120" maxValue="1200"/>
    </cacheField>
    <cacheField name="Recovered" numFmtId="0">
      <sharedItems containsSemiMixedTypes="0" containsString="0" containsNumber="1" containsInteger="1" minValue="300" maxValue="69569"/>
    </cacheField>
    <cacheField name="Active Cases" numFmtId="0">
      <sharedItems containsSemiMixedTypes="0" containsString="0" containsNumber="1" containsInteger="1" minValue="37" maxValue="51955"/>
    </cacheField>
    <cacheField name="Recovery Rate (%)" numFmtId="1">
      <sharedItems containsSemiMixedTypes="0" containsString="0" containsNumber="1" minValue="5.3710500402828751" maxValue="94.443333333333328"/>
    </cacheField>
    <cacheField name="Death Rate (%)" numFmtId="1">
      <sharedItems containsSemiMixedTypes="0" containsString="0" containsNumber="1" minValue="0.48875000000000002" maxValue="56.999999999999993"/>
    </cacheField>
  </cacheFields>
  <extLst>
    <ext xmlns:x14="http://schemas.microsoft.com/office/spreadsheetml/2009/9/main" uri="{725AE2AE-9491-48be-B2B4-4EB974FC3084}">
      <x14:pivotCacheDefinition pivotCacheId="496171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10000"/>
    <n v="500"/>
    <n v="7000"/>
    <n v="2500"/>
    <n v="70"/>
    <n v="5"/>
  </r>
  <r>
    <x v="0"/>
    <x v="1"/>
    <n v="8000"/>
    <n v="200"/>
    <n v="5500"/>
    <n v="2300"/>
    <n v="68.75"/>
    <n v="2.5"/>
  </r>
  <r>
    <x v="0"/>
    <x v="2"/>
    <n v="55855"/>
    <n v="900"/>
    <n v="3000"/>
    <n v="51955"/>
    <n v="5.3710500402828751"/>
    <n v="1.6113150120848625"/>
  </r>
  <r>
    <x v="1"/>
    <x v="0"/>
    <n v="20000"/>
    <n v="1200"/>
    <n v="10000"/>
    <n v="8800"/>
    <n v="50"/>
    <n v="6"/>
  </r>
  <r>
    <x v="1"/>
    <x v="1"/>
    <n v="10000"/>
    <n v="600"/>
    <n v="7000"/>
    <n v="2400"/>
    <n v="70"/>
    <n v="6"/>
  </r>
  <r>
    <x v="1"/>
    <x v="3"/>
    <n v="900"/>
    <n v="500"/>
    <n v="300"/>
    <n v="100"/>
    <n v="33.333333333333329"/>
    <n v="55.555555555555557"/>
  </r>
  <r>
    <x v="2"/>
    <x v="3"/>
    <n v="6000"/>
    <n v="120"/>
    <n v="4500"/>
    <n v="1380"/>
    <n v="75"/>
    <n v="2"/>
  </r>
  <r>
    <x v="2"/>
    <x v="4"/>
    <n v="12000"/>
    <n v="150"/>
    <n v="10100"/>
    <n v="1750"/>
    <n v="84.166666666666671"/>
    <n v="1.25"/>
  </r>
  <r>
    <x v="2"/>
    <x v="0"/>
    <n v="4000"/>
    <n v="120"/>
    <n v="2210"/>
    <n v="1670"/>
    <n v="55.25"/>
    <n v="3"/>
  </r>
  <r>
    <x v="2"/>
    <x v="1"/>
    <n v="7562"/>
    <n v="750"/>
    <n v="3591"/>
    <n v="3221"/>
    <n v="47.48743718592965"/>
    <n v="9.9180111081724398"/>
  </r>
  <r>
    <x v="2"/>
    <x v="2"/>
    <n v="8111"/>
    <n v="765"/>
    <n v="5000"/>
    <n v="2346"/>
    <n v="61.644680064110467"/>
    <n v="9.4316360498089011"/>
  </r>
  <r>
    <x v="3"/>
    <x v="4"/>
    <n v="4000"/>
    <n v="900"/>
    <n v="1111"/>
    <n v="1989"/>
    <n v="27.774999999999999"/>
    <n v="22.5"/>
  </r>
  <r>
    <x v="3"/>
    <x v="5"/>
    <n v="3000"/>
    <n v="155"/>
    <n v="1211"/>
    <n v="1634"/>
    <n v="40.366666666666667"/>
    <n v="5.166666666666667"/>
  </r>
  <r>
    <x v="4"/>
    <x v="5"/>
    <n v="3000"/>
    <n v="500"/>
    <n v="1591"/>
    <n v="909"/>
    <n v="53.033333333333331"/>
    <n v="16.666666666666664"/>
  </r>
  <r>
    <x v="4"/>
    <x v="0"/>
    <n v="5000"/>
    <n v="789"/>
    <n v="3562"/>
    <n v="649"/>
    <n v="71.240000000000009"/>
    <n v="15.78"/>
  </r>
  <r>
    <x v="4"/>
    <x v="1"/>
    <n v="4565"/>
    <n v="767"/>
    <n v="3562"/>
    <n v="236"/>
    <n v="78.028477546549837"/>
    <n v="16.801752464403066"/>
  </r>
  <r>
    <x v="4"/>
    <x v="2"/>
    <n v="7000"/>
    <n v="900"/>
    <n v="5999"/>
    <n v="101"/>
    <n v="85.7"/>
    <n v="12.857142857142856"/>
  </r>
  <r>
    <x v="5"/>
    <x v="5"/>
    <n v="8000"/>
    <n v="126"/>
    <n v="6000"/>
    <n v="1874"/>
    <n v="75"/>
    <n v="1.575"/>
  </r>
  <r>
    <x v="5"/>
    <x v="3"/>
    <n v="10000"/>
    <n v="1000"/>
    <n v="7895"/>
    <n v="1105"/>
    <n v="78.95"/>
    <n v="10"/>
  </r>
  <r>
    <x v="6"/>
    <x v="3"/>
    <n v="20000"/>
    <n v="150"/>
    <n v="8459"/>
    <n v="11391"/>
    <n v="42.295000000000002"/>
    <n v="0.75"/>
  </r>
  <r>
    <x v="6"/>
    <x v="5"/>
    <n v="50000"/>
    <n v="1001"/>
    <n v="33512"/>
    <n v="15487"/>
    <n v="67.024000000000001"/>
    <n v="2.0019999999999998"/>
  </r>
  <r>
    <x v="6"/>
    <x v="0"/>
    <n v="12000"/>
    <n v="999"/>
    <n v="9586"/>
    <n v="1415"/>
    <n v="79.883333333333326"/>
    <n v="8.3250000000000011"/>
  </r>
  <r>
    <x v="6"/>
    <x v="1"/>
    <n v="15000"/>
    <n v="856"/>
    <n v="11000"/>
    <n v="3144"/>
    <n v="73.333333333333329"/>
    <n v="5.706666666666667"/>
  </r>
  <r>
    <x v="6"/>
    <x v="2"/>
    <n v="41110"/>
    <n v="456"/>
    <n v="29150"/>
    <n v="11504"/>
    <n v="70.907321819508638"/>
    <n v="1.1092191680856238"/>
  </r>
  <r>
    <x v="7"/>
    <x v="1"/>
    <n v="7000"/>
    <n v="789"/>
    <n v="4000"/>
    <n v="2211"/>
    <n v="57.142857142857139"/>
    <n v="11.27142857142857"/>
  </r>
  <r>
    <x v="7"/>
    <x v="6"/>
    <n v="8000"/>
    <n v="459"/>
    <n v="5469"/>
    <n v="2072"/>
    <n v="68.362499999999997"/>
    <n v="5.7374999999999998"/>
  </r>
  <r>
    <x v="7"/>
    <x v="7"/>
    <n v="7000"/>
    <n v="756"/>
    <n v="6091"/>
    <n v="153"/>
    <n v="87.014285714285705"/>
    <n v="10.8"/>
  </r>
  <r>
    <x v="7"/>
    <x v="0"/>
    <n v="6000"/>
    <n v="712"/>
    <n v="3598"/>
    <n v="1690"/>
    <n v="59.966666666666669"/>
    <n v="11.866666666666667"/>
  </r>
  <r>
    <x v="8"/>
    <x v="1"/>
    <n v="3000"/>
    <n v="358"/>
    <n v="1254"/>
    <n v="1388"/>
    <n v="41.8"/>
    <n v="11.933333333333334"/>
  </r>
  <r>
    <x v="8"/>
    <x v="3"/>
    <n v="70000"/>
    <n v="491"/>
    <n v="55000"/>
    <n v="14509"/>
    <n v="78.571428571428569"/>
    <n v="0.7014285714285714"/>
  </r>
  <r>
    <x v="8"/>
    <x v="6"/>
    <n v="10000"/>
    <n v="890"/>
    <n v="8795"/>
    <n v="315"/>
    <n v="87.949999999999989"/>
    <n v="8.9"/>
  </r>
  <r>
    <x v="9"/>
    <x v="5"/>
    <n v="50000"/>
    <n v="999"/>
    <n v="39899"/>
    <n v="9102"/>
    <n v="79.798000000000002"/>
    <n v="1.9980000000000002"/>
  </r>
  <r>
    <x v="9"/>
    <x v="7"/>
    <n v="60000"/>
    <n v="457"/>
    <n v="56666"/>
    <n v="2877"/>
    <n v="94.443333333333328"/>
    <n v="0.7616666666666666"/>
  </r>
  <r>
    <x v="9"/>
    <x v="4"/>
    <n v="80000"/>
    <n v="391"/>
    <n v="69569"/>
    <n v="10040"/>
    <n v="86.961250000000007"/>
    <n v="0.48875000000000002"/>
  </r>
  <r>
    <x v="10"/>
    <x v="5"/>
    <n v="9000"/>
    <n v="943"/>
    <n v="7895"/>
    <n v="162"/>
    <n v="87.722222222222229"/>
    <n v="10.477777777777778"/>
  </r>
  <r>
    <x v="10"/>
    <x v="0"/>
    <n v="4652"/>
    <n v="965"/>
    <n v="3589"/>
    <n v="98"/>
    <n v="77.149613069647458"/>
    <n v="20.743766122098023"/>
  </r>
  <r>
    <x v="10"/>
    <x v="4"/>
    <n v="5632"/>
    <n v="879"/>
    <n v="4169"/>
    <n v="584"/>
    <n v="74.0234375"/>
    <n v="15.607244318181818"/>
  </r>
  <r>
    <x v="10"/>
    <x v="7"/>
    <n v="4125"/>
    <n v="650"/>
    <n v="2456"/>
    <n v="1019"/>
    <n v="59.539393939393939"/>
    <n v="15.757575757575756"/>
  </r>
  <r>
    <x v="11"/>
    <x v="1"/>
    <n v="6000"/>
    <n v="854"/>
    <n v="5096"/>
    <n v="50"/>
    <n v="84.933333333333337"/>
    <n v="14.233333333333334"/>
  </r>
  <r>
    <x v="11"/>
    <x v="2"/>
    <n v="6000"/>
    <n v="987"/>
    <n v="4569"/>
    <n v="444"/>
    <n v="76.149999999999991"/>
    <n v="16.45"/>
  </r>
  <r>
    <x v="12"/>
    <x v="3"/>
    <n v="6500"/>
    <n v="698"/>
    <n v="4895"/>
    <n v="907"/>
    <n v="75.307692307692307"/>
    <n v="10.738461538461538"/>
  </r>
  <r>
    <x v="12"/>
    <x v="6"/>
    <n v="5500"/>
    <n v="654"/>
    <n v="3562"/>
    <n v="1284"/>
    <n v="64.763636363636365"/>
    <n v="11.890909090909091"/>
  </r>
  <r>
    <x v="12"/>
    <x v="0"/>
    <n v="5000"/>
    <n v="852"/>
    <n v="4002"/>
    <n v="146"/>
    <n v="80.040000000000006"/>
    <n v="17.04"/>
  </r>
  <r>
    <x v="12"/>
    <x v="2"/>
    <n v="3000"/>
    <n v="963"/>
    <n v="2000"/>
    <n v="37"/>
    <n v="66.666666666666657"/>
    <n v="32.1"/>
  </r>
  <r>
    <x v="12"/>
    <x v="1"/>
    <n v="1300"/>
    <n v="741"/>
    <n v="500"/>
    <n v="59"/>
    <n v="38.461538461538467"/>
    <n v="56.999999999999993"/>
  </r>
  <r>
    <x v="13"/>
    <x v="5"/>
    <n v="10000"/>
    <n v="753"/>
    <n v="7895"/>
    <n v="1352"/>
    <n v="78.95"/>
    <n v="7.53"/>
  </r>
  <r>
    <x v="13"/>
    <x v="6"/>
    <n v="5500"/>
    <n v="951"/>
    <n v="562"/>
    <n v="3987"/>
    <n v="10.218181818181819"/>
    <n v="17.290909090909089"/>
  </r>
  <r>
    <x v="13"/>
    <x v="3"/>
    <n v="3500"/>
    <n v="321"/>
    <n v="1231"/>
    <n v="1948"/>
    <n v="35.171428571428571"/>
    <n v="9.1714285714285726"/>
  </r>
  <r>
    <x v="14"/>
    <x v="7"/>
    <n v="3300"/>
    <n v="159"/>
    <n v="2325"/>
    <n v="816"/>
    <n v="70.454545454545453"/>
    <n v="4.8181818181818183"/>
  </r>
  <r>
    <x v="14"/>
    <x v="5"/>
    <n v="55555"/>
    <n v="951"/>
    <n v="32650"/>
    <n v="21954"/>
    <n v="58.770587705877062"/>
    <n v="1.71181711817118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1532AD-2200-4E56-B394-8398968BC7D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12" firstHeaderRow="1" firstDataRow="1" firstDataCol="1"/>
  <pivotFields count="8">
    <pivotField numFmtId="14" showAll="0">
      <items count="16">
        <item x="0"/>
        <item x="1"/>
        <item x="2"/>
        <item x="3"/>
        <item x="4"/>
        <item x="5"/>
        <item x="6"/>
        <item x="7"/>
        <item x="8"/>
        <item x="9"/>
        <item x="10"/>
        <item x="11"/>
        <item x="12"/>
        <item x="13"/>
        <item x="14"/>
        <item t="default"/>
      </items>
    </pivotField>
    <pivotField axis="axisRow" showAll="0">
      <items count="9">
        <item x="5"/>
        <item x="0"/>
        <item x="6"/>
        <item x="3"/>
        <item x="4"/>
        <item x="2"/>
        <item x="1"/>
        <item x="7"/>
        <item t="default"/>
      </items>
    </pivotField>
    <pivotField showAll="0"/>
    <pivotField showAll="0"/>
    <pivotField showAll="0"/>
    <pivotField dataField="1" showAll="0"/>
    <pivotField numFmtId="1" showAll="0"/>
    <pivotField numFmtId="1" showAll="0"/>
  </pivotFields>
  <rowFields count="1">
    <field x="1"/>
  </rowFields>
  <rowItems count="9">
    <i>
      <x/>
    </i>
    <i>
      <x v="1"/>
    </i>
    <i>
      <x v="2"/>
    </i>
    <i>
      <x v="3"/>
    </i>
    <i>
      <x v="4"/>
    </i>
    <i>
      <x v="5"/>
    </i>
    <i>
      <x v="6"/>
    </i>
    <i>
      <x v="7"/>
    </i>
    <i t="grand">
      <x/>
    </i>
  </rowItems>
  <colItems count="1">
    <i/>
  </colItems>
  <dataFields count="1">
    <dataField name="Sum of Active Cases"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7C77E7-65E2-46B8-B4DE-E5ED2CF1937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2" firstHeaderRow="1" firstDataRow="1" firstDataCol="1"/>
  <pivotFields count="8">
    <pivotField numFmtId="14" showAll="0">
      <items count="16">
        <item x="0"/>
        <item x="1"/>
        <item x="2"/>
        <item x="3"/>
        <item x="4"/>
        <item x="5"/>
        <item x="6"/>
        <item x="7"/>
        <item x="8"/>
        <item x="9"/>
        <item x="10"/>
        <item x="11"/>
        <item x="12"/>
        <item x="13"/>
        <item x="14"/>
        <item t="default"/>
      </items>
    </pivotField>
    <pivotField axis="axisRow" showAll="0">
      <items count="9">
        <item x="5"/>
        <item x="0"/>
        <item x="6"/>
        <item x="3"/>
        <item x="4"/>
        <item x="2"/>
        <item x="1"/>
        <item x="7"/>
        <item t="default"/>
      </items>
    </pivotField>
    <pivotField showAll="0"/>
    <pivotField dataField="1" showAll="0"/>
    <pivotField showAll="0"/>
    <pivotField showAll="0"/>
    <pivotField numFmtId="1" showAll="0"/>
    <pivotField numFmtId="1" showAll="0"/>
  </pivotFields>
  <rowFields count="1">
    <field x="1"/>
  </rowFields>
  <rowItems count="9">
    <i>
      <x/>
    </i>
    <i>
      <x v="1"/>
    </i>
    <i>
      <x v="2"/>
    </i>
    <i>
      <x v="3"/>
    </i>
    <i>
      <x v="4"/>
    </i>
    <i>
      <x v="5"/>
    </i>
    <i>
      <x v="6"/>
    </i>
    <i>
      <x v="7"/>
    </i>
    <i t="grand">
      <x/>
    </i>
  </rowItems>
  <colItems count="1">
    <i/>
  </colItems>
  <dataFields count="1">
    <dataField name="Sum of Deaths"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D4EE3-F22C-4753-8D88-24A2EA6076C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D12" firstHeaderRow="1" firstDataRow="1" firstDataCol="1"/>
  <pivotFields count="8">
    <pivotField numFmtId="14" showAll="0">
      <items count="16">
        <item x="0"/>
        <item x="1"/>
        <item x="2"/>
        <item x="3"/>
        <item x="4"/>
        <item x="5"/>
        <item x="6"/>
        <item x="7"/>
        <item x="8"/>
        <item x="9"/>
        <item x="10"/>
        <item x="11"/>
        <item x="12"/>
        <item x="13"/>
        <item x="14"/>
        <item t="default"/>
      </items>
    </pivotField>
    <pivotField axis="axisRow" showAll="0">
      <items count="9">
        <item x="5"/>
        <item x="0"/>
        <item x="6"/>
        <item x="3"/>
        <item x="4"/>
        <item x="2"/>
        <item x="1"/>
        <item x="7"/>
        <item t="default"/>
      </items>
    </pivotField>
    <pivotField dataField="1" showAll="0"/>
    <pivotField showAll="0"/>
    <pivotField showAll="0"/>
    <pivotField showAll="0"/>
    <pivotField numFmtId="1" showAll="0"/>
    <pivotField numFmtId="1" showAll="0"/>
  </pivotFields>
  <rowFields count="1">
    <field x="1"/>
  </rowFields>
  <rowItems count="9">
    <i>
      <x/>
    </i>
    <i>
      <x v="1"/>
    </i>
    <i>
      <x v="2"/>
    </i>
    <i>
      <x v="3"/>
    </i>
    <i>
      <x v="4"/>
    </i>
    <i>
      <x v="5"/>
    </i>
    <i>
      <x v="6"/>
    </i>
    <i>
      <x v="7"/>
    </i>
    <i t="grand">
      <x/>
    </i>
  </rowItems>
  <colItems count="1">
    <i/>
  </colItems>
  <dataFields count="1">
    <dataField name="Sum of Confirmed Cases"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2B4AFB-2F7F-42E3-AEB6-9041F75C0A8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3:P12" firstHeaderRow="1" firstDataRow="1" firstDataCol="1"/>
  <pivotFields count="8">
    <pivotField numFmtId="14" showAll="0">
      <items count="16">
        <item x="0"/>
        <item x="1"/>
        <item x="2"/>
        <item x="3"/>
        <item x="4"/>
        <item x="5"/>
        <item x="6"/>
        <item x="7"/>
        <item x="8"/>
        <item x="9"/>
        <item x="10"/>
        <item x="11"/>
        <item x="12"/>
        <item x="13"/>
        <item x="14"/>
        <item t="default"/>
      </items>
    </pivotField>
    <pivotField axis="axisRow" showAll="0">
      <items count="9">
        <item x="5"/>
        <item x="0"/>
        <item x="6"/>
        <item x="3"/>
        <item x="4"/>
        <item x="2"/>
        <item x="1"/>
        <item x="7"/>
        <item t="default"/>
      </items>
    </pivotField>
    <pivotField showAll="0"/>
    <pivotField showAll="0"/>
    <pivotField showAll="0"/>
    <pivotField showAll="0"/>
    <pivotField dataField="1" numFmtId="1" showAll="0"/>
    <pivotField numFmtId="1" showAll="0"/>
  </pivotFields>
  <rowFields count="1">
    <field x="1"/>
  </rowFields>
  <rowItems count="9">
    <i>
      <x/>
    </i>
    <i>
      <x v="1"/>
    </i>
    <i>
      <x v="2"/>
    </i>
    <i>
      <x v="3"/>
    </i>
    <i>
      <x v="4"/>
    </i>
    <i>
      <x v="5"/>
    </i>
    <i>
      <x v="6"/>
    </i>
    <i>
      <x v="7"/>
    </i>
    <i t="grand">
      <x/>
    </i>
  </rowItems>
  <colItems count="1">
    <i/>
  </colItems>
  <dataFields count="1">
    <dataField name="Average of Recovery Rate (%)" fld="6" baseField="1" baseItem="0" numFmtId="1"/>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1" count="1" selected="0">
            <x v="0"/>
          </reference>
        </references>
      </pivotArea>
    </chartFormat>
    <chartFormat chart="2" format="20">
      <pivotArea type="data" outline="0" fieldPosition="0">
        <references count="2">
          <reference field="4294967294" count="1" selected="0">
            <x v="0"/>
          </reference>
          <reference field="1" count="1" selected="0">
            <x v="1"/>
          </reference>
        </references>
      </pivotArea>
    </chartFormat>
    <chartFormat chart="2" format="21">
      <pivotArea type="data" outline="0" fieldPosition="0">
        <references count="2">
          <reference field="4294967294" count="1" selected="0">
            <x v="0"/>
          </reference>
          <reference field="1" count="1" selected="0">
            <x v="2"/>
          </reference>
        </references>
      </pivotArea>
    </chartFormat>
    <chartFormat chart="2" format="22">
      <pivotArea type="data" outline="0" fieldPosition="0">
        <references count="2">
          <reference field="4294967294" count="1" selected="0">
            <x v="0"/>
          </reference>
          <reference field="1" count="1" selected="0">
            <x v="3"/>
          </reference>
        </references>
      </pivotArea>
    </chartFormat>
    <chartFormat chart="2" format="23">
      <pivotArea type="data" outline="0" fieldPosition="0">
        <references count="2">
          <reference field="4294967294" count="1" selected="0">
            <x v="0"/>
          </reference>
          <reference field="1" count="1" selected="0">
            <x v="4"/>
          </reference>
        </references>
      </pivotArea>
    </chartFormat>
    <chartFormat chart="2" format="24">
      <pivotArea type="data" outline="0" fieldPosition="0">
        <references count="2">
          <reference field="4294967294" count="1" selected="0">
            <x v="0"/>
          </reference>
          <reference field="1" count="1" selected="0">
            <x v="5"/>
          </reference>
        </references>
      </pivotArea>
    </chartFormat>
    <chartFormat chart="2" format="25">
      <pivotArea type="data" outline="0" fieldPosition="0">
        <references count="2">
          <reference field="4294967294" count="1" selected="0">
            <x v="0"/>
          </reference>
          <reference field="1" count="1" selected="0">
            <x v="6"/>
          </reference>
        </references>
      </pivotArea>
    </chartFormat>
    <chartFormat chart="2" format="26">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282530E-73AA-4AA8-A73E-A6FABB542CA8}" sourceName="Date">
  <pivotTables>
    <pivotTable tabId="3" name="PivotTable2"/>
    <pivotTable tabId="3" name="PivotTable3"/>
    <pivotTable tabId="3" name="PivotTable4"/>
    <pivotTable tabId="3" name="PivotTable5"/>
  </pivotTables>
  <data>
    <tabular pivotCacheId="496171310">
      <items count="15">
        <i x="0" s="1"/>
        <i x="1" s="1"/>
        <i x="2" s="1"/>
        <i x="3" s="1"/>
        <i x="4" s="1"/>
        <i x="5" s="1"/>
        <i x="6" s="1"/>
        <i x="7" s="1"/>
        <i x="8" s="1"/>
        <i x="9" s="1"/>
        <i x="10" s="1"/>
        <i x="11" s="1"/>
        <i x="12" s="1"/>
        <i x="13"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D109205-FAED-4B3E-B6E4-6A0300BE1440}" sourceName="Country">
  <pivotTables>
    <pivotTable tabId="3" name="PivotTable2"/>
    <pivotTable tabId="3" name="PivotTable3"/>
    <pivotTable tabId="3" name="PivotTable4"/>
    <pivotTable tabId="3" name="PivotTable5"/>
  </pivotTables>
  <data>
    <tabular pivotCacheId="496171310">
      <items count="8">
        <i x="5" s="1"/>
        <i x="0" s="1"/>
        <i x="6" s="1"/>
        <i x="3" s="1"/>
        <i x="4" s="1"/>
        <i x="2"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67D85CEB-3759-483F-8BCB-8034A1D67F31}" cache="Slicer_Date" caption="Date" startItem="6" rowHeight="247650"/>
  <slicer name="Country" xr10:uid="{E0731B16-B31A-4A39-B7AE-F36F5F789A61}" cache="Slicer_Country" caption="Count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BD72-7C26-40F8-8270-2318D104DD47}">
  <dimension ref="A1:H51"/>
  <sheetViews>
    <sheetView topLeftCell="A23" zoomScale="89" workbookViewId="0">
      <selection activeCell="S31" sqref="S31"/>
    </sheetView>
  </sheetViews>
  <sheetFormatPr defaultRowHeight="14.4" x14ac:dyDescent="0.3"/>
  <cols>
    <col min="1" max="1" width="16.33203125" style="1" customWidth="1"/>
    <col min="2" max="2" width="20.77734375" style="2" customWidth="1"/>
    <col min="3" max="3" width="23.77734375" style="2" customWidth="1"/>
    <col min="4" max="4" width="17" style="2" customWidth="1"/>
    <col min="5" max="5" width="18.33203125" style="2" customWidth="1"/>
    <col min="6" max="6" width="21.77734375" style="2" customWidth="1"/>
    <col min="7" max="7" width="26.109375" style="3" customWidth="1"/>
    <col min="8" max="8" width="20.6640625" style="3" customWidth="1"/>
  </cols>
  <sheetData>
    <row r="1" spans="1:8" s="8" customFormat="1" ht="30.6" customHeight="1" x14ac:dyDescent="0.3">
      <c r="A1" s="5" t="s">
        <v>0</v>
      </c>
      <c r="B1" s="6" t="s">
        <v>1</v>
      </c>
      <c r="C1" s="6" t="s">
        <v>2</v>
      </c>
      <c r="D1" s="6" t="s">
        <v>3</v>
      </c>
      <c r="E1" s="6" t="s">
        <v>4</v>
      </c>
      <c r="F1" s="6" t="s">
        <v>5</v>
      </c>
      <c r="G1" s="7" t="s">
        <v>14</v>
      </c>
      <c r="H1" s="7" t="s">
        <v>15</v>
      </c>
    </row>
    <row r="2" spans="1:8" x14ac:dyDescent="0.3">
      <c r="A2" s="1">
        <v>44197</v>
      </c>
      <c r="B2" s="2" t="s">
        <v>6</v>
      </c>
      <c r="C2" s="2">
        <v>10000</v>
      </c>
      <c r="D2" s="2">
        <v>500</v>
      </c>
      <c r="E2" s="2">
        <v>7000</v>
      </c>
      <c r="F2" s="2">
        <f>C2-D2-E2</f>
        <v>2500</v>
      </c>
      <c r="G2" s="3">
        <f>E2/C2*100</f>
        <v>70</v>
      </c>
      <c r="H2" s="3">
        <f>D2/C2*100</f>
        <v>5</v>
      </c>
    </row>
    <row r="3" spans="1:8" x14ac:dyDescent="0.3">
      <c r="A3" s="1">
        <v>44197</v>
      </c>
      <c r="B3" s="2" t="s">
        <v>7</v>
      </c>
      <c r="C3" s="2">
        <v>8000</v>
      </c>
      <c r="D3" s="2">
        <v>200</v>
      </c>
      <c r="E3" s="2">
        <v>5500</v>
      </c>
      <c r="F3" s="2">
        <f t="shared" ref="F3:F51" si="0">C3-D3-E3</f>
        <v>2300</v>
      </c>
      <c r="G3" s="3">
        <f t="shared" ref="G3:G51" si="1">E3/C3*100</f>
        <v>68.75</v>
      </c>
      <c r="H3" s="3">
        <f t="shared" ref="H3:H51" si="2">D3/C3*100</f>
        <v>2.5</v>
      </c>
    </row>
    <row r="4" spans="1:8" x14ac:dyDescent="0.3">
      <c r="A4" s="1">
        <v>44197</v>
      </c>
      <c r="B4" s="2" t="s">
        <v>8</v>
      </c>
      <c r="C4" s="2">
        <v>55855</v>
      </c>
      <c r="D4" s="2">
        <v>900</v>
      </c>
      <c r="E4" s="2">
        <v>3000</v>
      </c>
      <c r="F4" s="2">
        <f t="shared" si="0"/>
        <v>51955</v>
      </c>
      <c r="G4" s="3">
        <f t="shared" si="1"/>
        <v>5.3710500402828751</v>
      </c>
      <c r="H4" s="3">
        <f t="shared" si="2"/>
        <v>1.6113150120848625</v>
      </c>
    </row>
    <row r="5" spans="1:8" x14ac:dyDescent="0.3">
      <c r="A5" s="1">
        <v>44200</v>
      </c>
      <c r="B5" s="2" t="s">
        <v>6</v>
      </c>
      <c r="C5" s="2">
        <v>20000</v>
      </c>
      <c r="D5" s="2">
        <v>1200</v>
      </c>
      <c r="E5" s="2">
        <v>10000</v>
      </c>
      <c r="F5" s="2">
        <f t="shared" si="0"/>
        <v>8800</v>
      </c>
      <c r="G5" s="3">
        <f t="shared" si="1"/>
        <v>50</v>
      </c>
      <c r="H5" s="3">
        <f t="shared" si="2"/>
        <v>6</v>
      </c>
    </row>
    <row r="6" spans="1:8" x14ac:dyDescent="0.3">
      <c r="A6" s="1">
        <v>44200</v>
      </c>
      <c r="B6" s="2" t="s">
        <v>7</v>
      </c>
      <c r="C6" s="2">
        <v>10000</v>
      </c>
      <c r="D6" s="2">
        <v>600</v>
      </c>
      <c r="E6" s="2">
        <v>7000</v>
      </c>
      <c r="F6" s="2">
        <f t="shared" si="0"/>
        <v>2400</v>
      </c>
      <c r="G6" s="3">
        <f t="shared" si="1"/>
        <v>70</v>
      </c>
      <c r="H6" s="3">
        <f t="shared" si="2"/>
        <v>6</v>
      </c>
    </row>
    <row r="7" spans="1:8" x14ac:dyDescent="0.3">
      <c r="A7" s="1">
        <v>44200</v>
      </c>
      <c r="B7" s="2" t="s">
        <v>9</v>
      </c>
      <c r="C7" s="2">
        <v>900</v>
      </c>
      <c r="D7" s="2">
        <v>500</v>
      </c>
      <c r="E7" s="2">
        <v>300</v>
      </c>
      <c r="F7" s="2">
        <f t="shared" si="0"/>
        <v>100</v>
      </c>
      <c r="G7" s="3">
        <f t="shared" si="1"/>
        <v>33.333333333333329</v>
      </c>
      <c r="H7" s="3">
        <f t="shared" si="2"/>
        <v>55.555555555555557</v>
      </c>
    </row>
    <row r="8" spans="1:8" x14ac:dyDescent="0.3">
      <c r="A8" s="1">
        <v>44203</v>
      </c>
      <c r="B8" s="2" t="s">
        <v>9</v>
      </c>
      <c r="C8" s="2">
        <v>6000</v>
      </c>
      <c r="D8" s="2">
        <v>120</v>
      </c>
      <c r="E8" s="2">
        <v>4500</v>
      </c>
      <c r="F8" s="2">
        <f t="shared" si="0"/>
        <v>1380</v>
      </c>
      <c r="G8" s="3">
        <f t="shared" si="1"/>
        <v>75</v>
      </c>
      <c r="H8" s="3">
        <f t="shared" si="2"/>
        <v>2</v>
      </c>
    </row>
    <row r="9" spans="1:8" x14ac:dyDescent="0.3">
      <c r="A9" s="1">
        <v>44203</v>
      </c>
      <c r="B9" s="2" t="s">
        <v>10</v>
      </c>
      <c r="C9" s="2">
        <v>12000</v>
      </c>
      <c r="D9" s="2">
        <v>150</v>
      </c>
      <c r="E9" s="2">
        <v>10100</v>
      </c>
      <c r="F9" s="2">
        <f t="shared" si="0"/>
        <v>1750</v>
      </c>
      <c r="G9" s="3">
        <f t="shared" si="1"/>
        <v>84.166666666666671</v>
      </c>
      <c r="H9" s="3">
        <f t="shared" si="2"/>
        <v>1.25</v>
      </c>
    </row>
    <row r="10" spans="1:8" x14ac:dyDescent="0.3">
      <c r="A10" s="1">
        <v>44203</v>
      </c>
      <c r="B10" s="2" t="s">
        <v>6</v>
      </c>
      <c r="C10" s="2">
        <v>4000</v>
      </c>
      <c r="D10" s="2">
        <v>120</v>
      </c>
      <c r="E10" s="2">
        <v>2210</v>
      </c>
      <c r="F10" s="2">
        <f t="shared" si="0"/>
        <v>1670</v>
      </c>
      <c r="G10" s="3">
        <f t="shared" si="1"/>
        <v>55.25</v>
      </c>
      <c r="H10" s="3">
        <f t="shared" si="2"/>
        <v>3</v>
      </c>
    </row>
    <row r="11" spans="1:8" x14ac:dyDescent="0.3">
      <c r="A11" s="1">
        <v>44203</v>
      </c>
      <c r="B11" s="2" t="s">
        <v>7</v>
      </c>
      <c r="C11" s="2">
        <v>7562</v>
      </c>
      <c r="D11" s="2">
        <v>750</v>
      </c>
      <c r="E11" s="2">
        <v>3591</v>
      </c>
      <c r="F11" s="2">
        <f t="shared" si="0"/>
        <v>3221</v>
      </c>
      <c r="G11" s="3">
        <f t="shared" si="1"/>
        <v>47.48743718592965</v>
      </c>
      <c r="H11" s="3">
        <f t="shared" si="2"/>
        <v>9.9180111081724398</v>
      </c>
    </row>
    <row r="12" spans="1:8" x14ac:dyDescent="0.3">
      <c r="A12" s="1">
        <v>44203</v>
      </c>
      <c r="B12" s="2" t="s">
        <v>8</v>
      </c>
      <c r="C12" s="2">
        <v>8111</v>
      </c>
      <c r="D12" s="2">
        <v>765</v>
      </c>
      <c r="E12" s="2">
        <v>5000</v>
      </c>
      <c r="F12" s="2">
        <f t="shared" si="0"/>
        <v>2346</v>
      </c>
      <c r="G12" s="3">
        <f t="shared" si="1"/>
        <v>61.644680064110467</v>
      </c>
      <c r="H12" s="3">
        <f t="shared" si="2"/>
        <v>9.4316360498089011</v>
      </c>
    </row>
    <row r="13" spans="1:8" x14ac:dyDescent="0.3">
      <c r="A13" s="1">
        <v>44207</v>
      </c>
      <c r="B13" s="2" t="s">
        <v>10</v>
      </c>
      <c r="C13" s="2">
        <v>4000</v>
      </c>
      <c r="D13" s="2">
        <v>900</v>
      </c>
      <c r="E13" s="2">
        <v>1111</v>
      </c>
      <c r="F13" s="2">
        <f t="shared" si="0"/>
        <v>1989</v>
      </c>
      <c r="G13" s="3">
        <f t="shared" si="1"/>
        <v>27.774999999999999</v>
      </c>
      <c r="H13" s="3">
        <f t="shared" si="2"/>
        <v>22.5</v>
      </c>
    </row>
    <row r="14" spans="1:8" x14ac:dyDescent="0.3">
      <c r="A14" s="1">
        <v>44207</v>
      </c>
      <c r="B14" s="2" t="s">
        <v>11</v>
      </c>
      <c r="C14" s="2">
        <v>3000</v>
      </c>
      <c r="D14" s="2">
        <v>155</v>
      </c>
      <c r="E14" s="2">
        <v>1211</v>
      </c>
      <c r="F14" s="2">
        <f t="shared" si="0"/>
        <v>1634</v>
      </c>
      <c r="G14" s="3">
        <f t="shared" si="1"/>
        <v>40.366666666666667</v>
      </c>
      <c r="H14" s="3">
        <f t="shared" si="2"/>
        <v>5.166666666666667</v>
      </c>
    </row>
    <row r="15" spans="1:8" x14ac:dyDescent="0.3">
      <c r="A15" s="1">
        <v>44210</v>
      </c>
      <c r="B15" s="2" t="s">
        <v>11</v>
      </c>
      <c r="C15" s="2">
        <v>3000</v>
      </c>
      <c r="D15" s="2">
        <v>500</v>
      </c>
      <c r="E15" s="2">
        <v>1591</v>
      </c>
      <c r="F15" s="2">
        <f t="shared" si="0"/>
        <v>909</v>
      </c>
      <c r="G15" s="3">
        <f t="shared" si="1"/>
        <v>53.033333333333331</v>
      </c>
      <c r="H15" s="3">
        <f t="shared" si="2"/>
        <v>16.666666666666664</v>
      </c>
    </row>
    <row r="16" spans="1:8" x14ac:dyDescent="0.3">
      <c r="A16" s="1">
        <v>44210</v>
      </c>
      <c r="B16" s="2" t="s">
        <v>6</v>
      </c>
      <c r="C16" s="2">
        <v>5000</v>
      </c>
      <c r="D16" s="2">
        <v>789</v>
      </c>
      <c r="E16" s="2">
        <v>3562</v>
      </c>
      <c r="F16" s="2">
        <f t="shared" si="0"/>
        <v>649</v>
      </c>
      <c r="G16" s="3">
        <f t="shared" si="1"/>
        <v>71.240000000000009</v>
      </c>
      <c r="H16" s="3">
        <f t="shared" si="2"/>
        <v>15.78</v>
      </c>
    </row>
    <row r="17" spans="1:8" x14ac:dyDescent="0.3">
      <c r="A17" s="1">
        <v>44210</v>
      </c>
      <c r="B17" s="2" t="s">
        <v>7</v>
      </c>
      <c r="C17" s="2">
        <v>4565</v>
      </c>
      <c r="D17" s="2">
        <v>767</v>
      </c>
      <c r="E17" s="2">
        <v>3562</v>
      </c>
      <c r="F17" s="2">
        <f t="shared" si="0"/>
        <v>236</v>
      </c>
      <c r="G17" s="3">
        <f t="shared" si="1"/>
        <v>78.028477546549837</v>
      </c>
      <c r="H17" s="3">
        <f t="shared" si="2"/>
        <v>16.801752464403066</v>
      </c>
    </row>
    <row r="18" spans="1:8" x14ac:dyDescent="0.3">
      <c r="A18" s="1">
        <v>44210</v>
      </c>
      <c r="B18" s="2" t="s">
        <v>8</v>
      </c>
      <c r="C18" s="2">
        <v>7000</v>
      </c>
      <c r="D18" s="2">
        <v>900</v>
      </c>
      <c r="E18" s="2">
        <v>5999</v>
      </c>
      <c r="F18" s="2">
        <f t="shared" si="0"/>
        <v>101</v>
      </c>
      <c r="G18" s="3">
        <f t="shared" si="1"/>
        <v>85.7</v>
      </c>
      <c r="H18" s="3">
        <f t="shared" si="2"/>
        <v>12.857142857142856</v>
      </c>
    </row>
    <row r="19" spans="1:8" x14ac:dyDescent="0.3">
      <c r="A19" s="1">
        <v>44214</v>
      </c>
      <c r="B19" s="2" t="s">
        <v>11</v>
      </c>
      <c r="C19" s="2">
        <v>8000</v>
      </c>
      <c r="D19" s="2">
        <v>126</v>
      </c>
      <c r="E19" s="2">
        <v>6000</v>
      </c>
      <c r="F19" s="2">
        <f t="shared" si="0"/>
        <v>1874</v>
      </c>
      <c r="G19" s="3">
        <f t="shared" si="1"/>
        <v>75</v>
      </c>
      <c r="H19" s="3">
        <f t="shared" si="2"/>
        <v>1.575</v>
      </c>
    </row>
    <row r="20" spans="1:8" x14ac:dyDescent="0.3">
      <c r="A20" s="1">
        <v>44214</v>
      </c>
      <c r="B20" s="2" t="s">
        <v>9</v>
      </c>
      <c r="C20" s="2">
        <v>10000</v>
      </c>
      <c r="D20" s="2">
        <v>1000</v>
      </c>
      <c r="E20" s="2">
        <v>7895</v>
      </c>
      <c r="F20" s="2">
        <f t="shared" si="0"/>
        <v>1105</v>
      </c>
      <c r="G20" s="3">
        <f t="shared" si="1"/>
        <v>78.95</v>
      </c>
      <c r="H20" s="3">
        <f t="shared" si="2"/>
        <v>10</v>
      </c>
    </row>
    <row r="21" spans="1:8" x14ac:dyDescent="0.3">
      <c r="A21" s="1">
        <v>44216</v>
      </c>
      <c r="B21" s="2" t="s">
        <v>9</v>
      </c>
      <c r="C21" s="2">
        <v>20000</v>
      </c>
      <c r="D21" s="2">
        <v>150</v>
      </c>
      <c r="E21" s="2">
        <v>8459</v>
      </c>
      <c r="F21" s="2">
        <f t="shared" si="0"/>
        <v>11391</v>
      </c>
      <c r="G21" s="3">
        <f t="shared" si="1"/>
        <v>42.295000000000002</v>
      </c>
      <c r="H21" s="3">
        <f t="shared" si="2"/>
        <v>0.75</v>
      </c>
    </row>
    <row r="22" spans="1:8" x14ac:dyDescent="0.3">
      <c r="A22" s="1">
        <v>44216</v>
      </c>
      <c r="B22" s="2" t="s">
        <v>11</v>
      </c>
      <c r="C22" s="2">
        <v>50000</v>
      </c>
      <c r="D22" s="2">
        <v>1001</v>
      </c>
      <c r="E22" s="2">
        <v>33512</v>
      </c>
      <c r="F22" s="2">
        <f t="shared" si="0"/>
        <v>15487</v>
      </c>
      <c r="G22" s="3">
        <f t="shared" si="1"/>
        <v>67.024000000000001</v>
      </c>
      <c r="H22" s="3">
        <f t="shared" si="2"/>
        <v>2.0019999999999998</v>
      </c>
    </row>
    <row r="23" spans="1:8" x14ac:dyDescent="0.3">
      <c r="A23" s="1">
        <v>44216</v>
      </c>
      <c r="B23" s="2" t="s">
        <v>6</v>
      </c>
      <c r="C23" s="2">
        <v>12000</v>
      </c>
      <c r="D23" s="2">
        <v>999</v>
      </c>
      <c r="E23" s="2">
        <v>9586</v>
      </c>
      <c r="F23" s="2">
        <f t="shared" si="0"/>
        <v>1415</v>
      </c>
      <c r="G23" s="3">
        <f t="shared" si="1"/>
        <v>79.883333333333326</v>
      </c>
      <c r="H23" s="3">
        <f t="shared" si="2"/>
        <v>8.3250000000000011</v>
      </c>
    </row>
    <row r="24" spans="1:8" x14ac:dyDescent="0.3">
      <c r="A24" s="1">
        <v>44216</v>
      </c>
      <c r="B24" s="2" t="s">
        <v>7</v>
      </c>
      <c r="C24" s="2">
        <v>15000</v>
      </c>
      <c r="D24" s="2">
        <v>856</v>
      </c>
      <c r="E24" s="2">
        <v>11000</v>
      </c>
      <c r="F24" s="2">
        <f t="shared" si="0"/>
        <v>3144</v>
      </c>
      <c r="G24" s="3">
        <f t="shared" si="1"/>
        <v>73.333333333333329</v>
      </c>
      <c r="H24" s="3">
        <f t="shared" si="2"/>
        <v>5.706666666666667</v>
      </c>
    </row>
    <row r="25" spans="1:8" x14ac:dyDescent="0.3">
      <c r="A25" s="1">
        <v>44216</v>
      </c>
      <c r="B25" s="2" t="s">
        <v>8</v>
      </c>
      <c r="C25" s="2">
        <v>41110</v>
      </c>
      <c r="D25" s="2">
        <v>456</v>
      </c>
      <c r="E25" s="2">
        <v>29150</v>
      </c>
      <c r="F25" s="2">
        <f t="shared" si="0"/>
        <v>11504</v>
      </c>
      <c r="G25" s="3">
        <f t="shared" si="1"/>
        <v>70.907321819508638</v>
      </c>
      <c r="H25" s="3">
        <f t="shared" si="2"/>
        <v>1.1092191680856238</v>
      </c>
    </row>
    <row r="26" spans="1:8" x14ac:dyDescent="0.3">
      <c r="A26" s="1">
        <v>44221</v>
      </c>
      <c r="B26" s="2" t="s">
        <v>7</v>
      </c>
      <c r="C26" s="2">
        <v>7000</v>
      </c>
      <c r="D26" s="2">
        <v>789</v>
      </c>
      <c r="E26" s="2">
        <v>4000</v>
      </c>
      <c r="F26" s="2">
        <f t="shared" si="0"/>
        <v>2211</v>
      </c>
      <c r="G26" s="3">
        <f t="shared" si="1"/>
        <v>57.142857142857139</v>
      </c>
      <c r="H26" s="3">
        <f t="shared" si="2"/>
        <v>11.27142857142857</v>
      </c>
    </row>
    <row r="27" spans="1:8" x14ac:dyDescent="0.3">
      <c r="A27" s="1">
        <v>44221</v>
      </c>
      <c r="B27" s="2" t="s">
        <v>12</v>
      </c>
      <c r="C27" s="2">
        <v>8000</v>
      </c>
      <c r="D27" s="2">
        <v>459</v>
      </c>
      <c r="E27" s="2">
        <v>5469</v>
      </c>
      <c r="F27" s="2">
        <f t="shared" si="0"/>
        <v>2072</v>
      </c>
      <c r="G27" s="3">
        <f t="shared" si="1"/>
        <v>68.362499999999997</v>
      </c>
      <c r="H27" s="3">
        <f t="shared" si="2"/>
        <v>5.7374999999999998</v>
      </c>
    </row>
    <row r="28" spans="1:8" x14ac:dyDescent="0.3">
      <c r="A28" s="1">
        <v>44221</v>
      </c>
      <c r="B28" s="2" t="s">
        <v>13</v>
      </c>
      <c r="C28" s="2">
        <v>7000</v>
      </c>
      <c r="D28" s="2">
        <v>756</v>
      </c>
      <c r="E28" s="2">
        <v>6091</v>
      </c>
      <c r="F28" s="2">
        <f t="shared" si="0"/>
        <v>153</v>
      </c>
      <c r="G28" s="3">
        <f t="shared" si="1"/>
        <v>87.014285714285705</v>
      </c>
      <c r="H28" s="3">
        <f t="shared" si="2"/>
        <v>10.8</v>
      </c>
    </row>
    <row r="29" spans="1:8" x14ac:dyDescent="0.3">
      <c r="A29" s="1">
        <v>44221</v>
      </c>
      <c r="B29" s="2" t="s">
        <v>6</v>
      </c>
      <c r="C29" s="2">
        <v>6000</v>
      </c>
      <c r="D29" s="2">
        <v>712</v>
      </c>
      <c r="E29" s="2">
        <v>3598</v>
      </c>
      <c r="F29" s="2">
        <f t="shared" si="0"/>
        <v>1690</v>
      </c>
      <c r="G29" s="3">
        <f t="shared" si="1"/>
        <v>59.966666666666669</v>
      </c>
      <c r="H29" s="3">
        <f t="shared" si="2"/>
        <v>11.866666666666667</v>
      </c>
    </row>
    <row r="30" spans="1:8" x14ac:dyDescent="0.3">
      <c r="A30" s="1">
        <v>44225</v>
      </c>
      <c r="B30" s="2" t="s">
        <v>7</v>
      </c>
      <c r="C30" s="2">
        <v>3000</v>
      </c>
      <c r="D30" s="2">
        <v>358</v>
      </c>
      <c r="E30" s="2">
        <v>1254</v>
      </c>
      <c r="F30" s="2">
        <f t="shared" si="0"/>
        <v>1388</v>
      </c>
      <c r="G30" s="3">
        <f t="shared" si="1"/>
        <v>41.8</v>
      </c>
      <c r="H30" s="3">
        <f t="shared" si="2"/>
        <v>11.933333333333334</v>
      </c>
    </row>
    <row r="31" spans="1:8" x14ac:dyDescent="0.3">
      <c r="A31" s="1">
        <v>44225</v>
      </c>
      <c r="B31" s="2" t="s">
        <v>9</v>
      </c>
      <c r="C31" s="2">
        <v>70000</v>
      </c>
      <c r="D31" s="2">
        <v>491</v>
      </c>
      <c r="E31" s="2">
        <v>55000</v>
      </c>
      <c r="F31" s="2">
        <f t="shared" si="0"/>
        <v>14509</v>
      </c>
      <c r="G31" s="3">
        <f t="shared" si="1"/>
        <v>78.571428571428569</v>
      </c>
      <c r="H31" s="3">
        <f t="shared" si="2"/>
        <v>0.7014285714285714</v>
      </c>
    </row>
    <row r="32" spans="1:8" x14ac:dyDescent="0.3">
      <c r="A32" s="1">
        <v>44225</v>
      </c>
      <c r="B32" s="2" t="s">
        <v>12</v>
      </c>
      <c r="C32" s="2">
        <v>10000</v>
      </c>
      <c r="D32" s="2">
        <v>890</v>
      </c>
      <c r="E32" s="2">
        <v>8795</v>
      </c>
      <c r="F32" s="2">
        <f t="shared" si="0"/>
        <v>315</v>
      </c>
      <c r="G32" s="3">
        <f t="shared" si="1"/>
        <v>87.949999999999989</v>
      </c>
      <c r="H32" s="3">
        <f t="shared" si="2"/>
        <v>8.9</v>
      </c>
    </row>
    <row r="33" spans="1:8" x14ac:dyDescent="0.3">
      <c r="A33" s="1">
        <v>44228</v>
      </c>
      <c r="B33" s="2" t="s">
        <v>11</v>
      </c>
      <c r="C33" s="2">
        <v>50000</v>
      </c>
      <c r="D33" s="2">
        <v>999</v>
      </c>
      <c r="E33" s="2">
        <v>39899</v>
      </c>
      <c r="F33" s="2">
        <f t="shared" si="0"/>
        <v>9102</v>
      </c>
      <c r="G33" s="3">
        <f t="shared" si="1"/>
        <v>79.798000000000002</v>
      </c>
      <c r="H33" s="3">
        <f t="shared" si="2"/>
        <v>1.9980000000000002</v>
      </c>
    </row>
    <row r="34" spans="1:8" x14ac:dyDescent="0.3">
      <c r="A34" s="1">
        <v>44228</v>
      </c>
      <c r="B34" s="2" t="s">
        <v>13</v>
      </c>
      <c r="C34" s="2">
        <v>60000</v>
      </c>
      <c r="D34" s="2">
        <v>457</v>
      </c>
      <c r="E34" s="2">
        <v>56666</v>
      </c>
      <c r="F34" s="2">
        <f t="shared" si="0"/>
        <v>2877</v>
      </c>
      <c r="G34" s="3">
        <f t="shared" si="1"/>
        <v>94.443333333333328</v>
      </c>
      <c r="H34" s="3">
        <f t="shared" si="2"/>
        <v>0.7616666666666666</v>
      </c>
    </row>
    <row r="35" spans="1:8" x14ac:dyDescent="0.3">
      <c r="A35" s="1">
        <v>44228</v>
      </c>
      <c r="B35" s="2" t="s">
        <v>10</v>
      </c>
      <c r="C35" s="2">
        <v>80000</v>
      </c>
      <c r="D35" s="2">
        <v>391</v>
      </c>
      <c r="E35" s="2">
        <v>69569</v>
      </c>
      <c r="F35" s="2">
        <f t="shared" si="0"/>
        <v>10040</v>
      </c>
      <c r="G35" s="3">
        <f t="shared" si="1"/>
        <v>86.961250000000007</v>
      </c>
      <c r="H35" s="3">
        <f t="shared" si="2"/>
        <v>0.48875000000000002</v>
      </c>
    </row>
    <row r="36" spans="1:8" x14ac:dyDescent="0.3">
      <c r="A36" s="1">
        <v>44231</v>
      </c>
      <c r="B36" s="2" t="s">
        <v>11</v>
      </c>
      <c r="C36" s="2">
        <v>9000</v>
      </c>
      <c r="D36" s="2">
        <v>943</v>
      </c>
      <c r="E36" s="2">
        <v>7895</v>
      </c>
      <c r="F36" s="2">
        <f t="shared" si="0"/>
        <v>162</v>
      </c>
      <c r="G36" s="3">
        <f t="shared" si="1"/>
        <v>87.722222222222229</v>
      </c>
      <c r="H36" s="3">
        <f t="shared" si="2"/>
        <v>10.477777777777778</v>
      </c>
    </row>
    <row r="37" spans="1:8" x14ac:dyDescent="0.3">
      <c r="A37" s="1">
        <v>44231</v>
      </c>
      <c r="B37" s="2" t="s">
        <v>6</v>
      </c>
      <c r="C37" s="2">
        <v>4652</v>
      </c>
      <c r="D37" s="2">
        <v>965</v>
      </c>
      <c r="E37" s="2">
        <v>3589</v>
      </c>
      <c r="F37" s="2">
        <f t="shared" si="0"/>
        <v>98</v>
      </c>
      <c r="G37" s="3">
        <f t="shared" si="1"/>
        <v>77.149613069647458</v>
      </c>
      <c r="H37" s="3">
        <f t="shared" si="2"/>
        <v>20.743766122098023</v>
      </c>
    </row>
    <row r="38" spans="1:8" x14ac:dyDescent="0.3">
      <c r="A38" s="1">
        <v>44231</v>
      </c>
      <c r="B38" s="2" t="s">
        <v>10</v>
      </c>
      <c r="C38" s="2">
        <v>5632</v>
      </c>
      <c r="D38" s="2">
        <v>879</v>
      </c>
      <c r="E38" s="2">
        <v>4169</v>
      </c>
      <c r="F38" s="2">
        <f t="shared" si="0"/>
        <v>584</v>
      </c>
      <c r="G38" s="3">
        <f t="shared" si="1"/>
        <v>74.0234375</v>
      </c>
      <c r="H38" s="3">
        <f t="shared" si="2"/>
        <v>15.607244318181818</v>
      </c>
    </row>
    <row r="39" spans="1:8" x14ac:dyDescent="0.3">
      <c r="A39" s="1">
        <v>44231</v>
      </c>
      <c r="B39" s="2" t="s">
        <v>13</v>
      </c>
      <c r="C39" s="2">
        <v>4125</v>
      </c>
      <c r="D39" s="2">
        <v>650</v>
      </c>
      <c r="E39" s="2">
        <v>2456</v>
      </c>
      <c r="F39" s="2">
        <f t="shared" si="0"/>
        <v>1019</v>
      </c>
      <c r="G39" s="3">
        <f t="shared" si="1"/>
        <v>59.539393939393939</v>
      </c>
      <c r="H39" s="3">
        <f t="shared" si="2"/>
        <v>15.757575757575756</v>
      </c>
    </row>
    <row r="40" spans="1:8" x14ac:dyDescent="0.3">
      <c r="A40" s="1">
        <v>44235</v>
      </c>
      <c r="B40" s="2" t="s">
        <v>7</v>
      </c>
      <c r="C40" s="2">
        <v>6000</v>
      </c>
      <c r="D40" s="2">
        <v>854</v>
      </c>
      <c r="E40" s="2">
        <v>5096</v>
      </c>
      <c r="F40" s="2">
        <f t="shared" si="0"/>
        <v>50</v>
      </c>
      <c r="G40" s="3">
        <f t="shared" si="1"/>
        <v>84.933333333333337</v>
      </c>
      <c r="H40" s="3">
        <f t="shared" si="2"/>
        <v>14.233333333333334</v>
      </c>
    </row>
    <row r="41" spans="1:8" x14ac:dyDescent="0.3">
      <c r="A41" s="1">
        <v>44235</v>
      </c>
      <c r="B41" s="2" t="s">
        <v>8</v>
      </c>
      <c r="C41" s="2">
        <v>6000</v>
      </c>
      <c r="D41" s="2">
        <v>987</v>
      </c>
      <c r="E41" s="2">
        <v>4569</v>
      </c>
      <c r="F41" s="2">
        <f t="shared" si="0"/>
        <v>444</v>
      </c>
      <c r="G41" s="3">
        <f t="shared" si="1"/>
        <v>76.149999999999991</v>
      </c>
      <c r="H41" s="3">
        <f t="shared" si="2"/>
        <v>16.45</v>
      </c>
    </row>
    <row r="42" spans="1:8" x14ac:dyDescent="0.3">
      <c r="A42" s="1">
        <v>44237</v>
      </c>
      <c r="B42" s="2" t="s">
        <v>9</v>
      </c>
      <c r="C42" s="2">
        <v>6500</v>
      </c>
      <c r="D42" s="2">
        <v>698</v>
      </c>
      <c r="E42" s="2">
        <v>4895</v>
      </c>
      <c r="F42" s="2">
        <f t="shared" si="0"/>
        <v>907</v>
      </c>
      <c r="G42" s="3">
        <f t="shared" si="1"/>
        <v>75.307692307692307</v>
      </c>
      <c r="H42" s="3">
        <f t="shared" si="2"/>
        <v>10.738461538461538</v>
      </c>
    </row>
    <row r="43" spans="1:8" x14ac:dyDescent="0.3">
      <c r="A43" s="1">
        <v>44237</v>
      </c>
      <c r="B43" s="2" t="s">
        <v>12</v>
      </c>
      <c r="C43" s="2">
        <v>5500</v>
      </c>
      <c r="D43" s="2">
        <v>654</v>
      </c>
      <c r="E43" s="2">
        <v>3562</v>
      </c>
      <c r="F43" s="2">
        <f t="shared" si="0"/>
        <v>1284</v>
      </c>
      <c r="G43" s="3">
        <f t="shared" si="1"/>
        <v>64.763636363636365</v>
      </c>
      <c r="H43" s="3">
        <f t="shared" si="2"/>
        <v>11.890909090909091</v>
      </c>
    </row>
    <row r="44" spans="1:8" x14ac:dyDescent="0.3">
      <c r="A44" s="1">
        <v>44237</v>
      </c>
      <c r="B44" s="2" t="s">
        <v>6</v>
      </c>
      <c r="C44" s="2">
        <v>5000</v>
      </c>
      <c r="D44" s="2">
        <v>852</v>
      </c>
      <c r="E44" s="2">
        <v>4002</v>
      </c>
      <c r="F44" s="2">
        <f t="shared" si="0"/>
        <v>146</v>
      </c>
      <c r="G44" s="3">
        <f t="shared" si="1"/>
        <v>80.040000000000006</v>
      </c>
      <c r="H44" s="3">
        <f t="shared" si="2"/>
        <v>17.04</v>
      </c>
    </row>
    <row r="45" spans="1:8" x14ac:dyDescent="0.3">
      <c r="A45" s="1">
        <v>44237</v>
      </c>
      <c r="B45" s="2" t="s">
        <v>8</v>
      </c>
      <c r="C45" s="2">
        <v>3000</v>
      </c>
      <c r="D45" s="2">
        <v>963</v>
      </c>
      <c r="E45" s="2">
        <v>2000</v>
      </c>
      <c r="F45" s="2">
        <f t="shared" si="0"/>
        <v>37</v>
      </c>
      <c r="G45" s="3">
        <f t="shared" si="1"/>
        <v>66.666666666666657</v>
      </c>
      <c r="H45" s="3">
        <f t="shared" si="2"/>
        <v>32.1</v>
      </c>
    </row>
    <row r="46" spans="1:8" x14ac:dyDescent="0.3">
      <c r="A46" s="1">
        <v>44237</v>
      </c>
      <c r="B46" s="2" t="s">
        <v>7</v>
      </c>
      <c r="C46" s="2">
        <v>1300</v>
      </c>
      <c r="D46" s="2">
        <v>741</v>
      </c>
      <c r="E46" s="2">
        <v>500</v>
      </c>
      <c r="F46" s="2">
        <f t="shared" si="0"/>
        <v>59</v>
      </c>
      <c r="G46" s="3">
        <f t="shared" si="1"/>
        <v>38.461538461538467</v>
      </c>
      <c r="H46" s="3">
        <f t="shared" si="2"/>
        <v>56.999999999999993</v>
      </c>
    </row>
    <row r="47" spans="1:8" x14ac:dyDescent="0.3">
      <c r="A47" s="1">
        <v>44242</v>
      </c>
      <c r="B47" s="2" t="s">
        <v>11</v>
      </c>
      <c r="C47" s="2">
        <v>10000</v>
      </c>
      <c r="D47" s="2">
        <v>753</v>
      </c>
      <c r="E47" s="2">
        <v>7895</v>
      </c>
      <c r="F47" s="2">
        <f t="shared" si="0"/>
        <v>1352</v>
      </c>
      <c r="G47" s="3">
        <f t="shared" si="1"/>
        <v>78.95</v>
      </c>
      <c r="H47" s="3">
        <f t="shared" si="2"/>
        <v>7.53</v>
      </c>
    </row>
    <row r="48" spans="1:8" x14ac:dyDescent="0.3">
      <c r="A48" s="1">
        <v>44242</v>
      </c>
      <c r="B48" s="2" t="s">
        <v>12</v>
      </c>
      <c r="C48" s="2">
        <v>5500</v>
      </c>
      <c r="D48" s="2">
        <v>951</v>
      </c>
      <c r="E48" s="2">
        <v>562</v>
      </c>
      <c r="F48" s="2">
        <f t="shared" si="0"/>
        <v>3987</v>
      </c>
      <c r="G48" s="3">
        <f t="shared" si="1"/>
        <v>10.218181818181819</v>
      </c>
      <c r="H48" s="3">
        <f t="shared" si="2"/>
        <v>17.290909090909089</v>
      </c>
    </row>
    <row r="49" spans="1:8" x14ac:dyDescent="0.3">
      <c r="A49" s="1">
        <v>44242</v>
      </c>
      <c r="B49" s="2" t="s">
        <v>9</v>
      </c>
      <c r="C49" s="2">
        <v>3500</v>
      </c>
      <c r="D49" s="2">
        <v>321</v>
      </c>
      <c r="E49" s="2">
        <v>1231</v>
      </c>
      <c r="F49" s="2">
        <f t="shared" si="0"/>
        <v>1948</v>
      </c>
      <c r="G49" s="3">
        <f t="shared" si="1"/>
        <v>35.171428571428571</v>
      </c>
      <c r="H49" s="3">
        <f t="shared" si="2"/>
        <v>9.1714285714285726</v>
      </c>
    </row>
    <row r="50" spans="1:8" x14ac:dyDescent="0.3">
      <c r="A50" s="1">
        <v>44245</v>
      </c>
      <c r="B50" s="2" t="s">
        <v>13</v>
      </c>
      <c r="C50" s="2">
        <v>3300</v>
      </c>
      <c r="D50" s="2">
        <v>159</v>
      </c>
      <c r="E50" s="2">
        <v>2325</v>
      </c>
      <c r="F50" s="2">
        <f t="shared" si="0"/>
        <v>816</v>
      </c>
      <c r="G50" s="3">
        <f t="shared" si="1"/>
        <v>70.454545454545453</v>
      </c>
      <c r="H50" s="3">
        <f t="shared" si="2"/>
        <v>4.8181818181818183</v>
      </c>
    </row>
    <row r="51" spans="1:8" x14ac:dyDescent="0.3">
      <c r="A51" s="1">
        <v>44245</v>
      </c>
      <c r="B51" s="2" t="s">
        <v>11</v>
      </c>
      <c r="C51" s="2">
        <v>55555</v>
      </c>
      <c r="D51" s="2">
        <v>951</v>
      </c>
      <c r="E51" s="2">
        <v>32650</v>
      </c>
      <c r="F51" s="2">
        <f t="shared" si="0"/>
        <v>21954</v>
      </c>
      <c r="G51" s="3">
        <f t="shared" si="1"/>
        <v>58.770587705877062</v>
      </c>
      <c r="H51" s="3">
        <f t="shared" si="2"/>
        <v>1.7118171181711817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374A-3ABC-4153-BA2F-C4984B5E95C8}">
  <dimension ref="C1:P12"/>
  <sheetViews>
    <sheetView showGridLines="0" zoomScale="77" workbookViewId="0">
      <selection activeCell="T31" sqref="T31"/>
    </sheetView>
  </sheetViews>
  <sheetFormatPr defaultRowHeight="14.4" x14ac:dyDescent="0.3"/>
  <cols>
    <col min="3" max="3" width="13.109375" bestFit="1" customWidth="1"/>
    <col min="4" max="4" width="21.88671875" bestFit="1" customWidth="1"/>
    <col min="7" max="7" width="13.109375" bestFit="1" customWidth="1"/>
    <col min="8" max="8" width="13" bestFit="1" customWidth="1"/>
    <col min="11" max="11" width="13.109375" bestFit="1" customWidth="1"/>
    <col min="12" max="12" width="18.109375" bestFit="1" customWidth="1"/>
    <col min="15" max="15" width="13.109375" bestFit="1" customWidth="1"/>
    <col min="16" max="16" width="25.5546875" bestFit="1" customWidth="1"/>
  </cols>
  <sheetData>
    <row r="1" spans="3:16" s="11" customFormat="1" ht="21" x14ac:dyDescent="0.4">
      <c r="C1" s="11" t="s">
        <v>22</v>
      </c>
      <c r="G1" s="11" t="s">
        <v>23</v>
      </c>
      <c r="K1" s="11" t="s">
        <v>5</v>
      </c>
      <c r="O1" s="11" t="s">
        <v>24</v>
      </c>
    </row>
    <row r="3" spans="3:16" x14ac:dyDescent="0.3">
      <c r="C3" s="9" t="s">
        <v>16</v>
      </c>
      <c r="D3" t="s">
        <v>18</v>
      </c>
      <c r="G3" s="9" t="s">
        <v>16</v>
      </c>
      <c r="H3" t="s">
        <v>19</v>
      </c>
      <c r="K3" s="9" t="s">
        <v>16</v>
      </c>
      <c r="L3" t="s">
        <v>20</v>
      </c>
      <c r="O3" s="9" t="s">
        <v>16</v>
      </c>
      <c r="P3" t="s">
        <v>21</v>
      </c>
    </row>
    <row r="4" spans="3:16" x14ac:dyDescent="0.3">
      <c r="C4" s="10" t="s">
        <v>11</v>
      </c>
      <c r="D4" s="14">
        <v>188555</v>
      </c>
      <c r="G4" s="10" t="s">
        <v>11</v>
      </c>
      <c r="H4" s="14">
        <v>5428</v>
      </c>
      <c r="K4" s="10" t="s">
        <v>11</v>
      </c>
      <c r="L4" s="14">
        <v>52474</v>
      </c>
      <c r="O4" s="10" t="s">
        <v>11</v>
      </c>
      <c r="P4" s="4">
        <v>540.6648099280992</v>
      </c>
    </row>
    <row r="5" spans="3:16" x14ac:dyDescent="0.3">
      <c r="C5" s="10" t="s">
        <v>6</v>
      </c>
      <c r="D5" s="14">
        <v>66652</v>
      </c>
      <c r="G5" s="10" t="s">
        <v>6</v>
      </c>
      <c r="H5" s="14">
        <v>6137</v>
      </c>
      <c r="K5" s="10" t="s">
        <v>6</v>
      </c>
      <c r="L5" s="14">
        <v>16968</v>
      </c>
      <c r="O5" s="10" t="s">
        <v>6</v>
      </c>
      <c r="P5" s="4">
        <v>543.52961306964744</v>
      </c>
    </row>
    <row r="6" spans="3:16" x14ac:dyDescent="0.3">
      <c r="C6" s="10" t="s">
        <v>12</v>
      </c>
      <c r="D6" s="14">
        <v>29000</v>
      </c>
      <c r="G6" s="10" t="s">
        <v>12</v>
      </c>
      <c r="H6" s="14">
        <v>2954</v>
      </c>
      <c r="K6" s="10" t="s">
        <v>12</v>
      </c>
      <c r="L6" s="14">
        <v>7658</v>
      </c>
      <c r="O6" s="10" t="s">
        <v>12</v>
      </c>
      <c r="P6" s="4">
        <v>231.29431818181817</v>
      </c>
    </row>
    <row r="7" spans="3:16" x14ac:dyDescent="0.3">
      <c r="C7" s="10" t="s">
        <v>9</v>
      </c>
      <c r="D7" s="14">
        <v>116900</v>
      </c>
      <c r="G7" s="10" t="s">
        <v>9</v>
      </c>
      <c r="H7" s="14">
        <v>3280</v>
      </c>
      <c r="K7" s="10" t="s">
        <v>9</v>
      </c>
      <c r="L7" s="14">
        <v>31340</v>
      </c>
      <c r="O7" s="10" t="s">
        <v>9</v>
      </c>
      <c r="P7" s="4">
        <v>418.62888278388277</v>
      </c>
    </row>
    <row r="8" spans="3:16" x14ac:dyDescent="0.3">
      <c r="C8" s="10" t="s">
        <v>10</v>
      </c>
      <c r="D8" s="14">
        <v>101632</v>
      </c>
      <c r="G8" s="10" t="s">
        <v>10</v>
      </c>
      <c r="H8" s="14">
        <v>2320</v>
      </c>
      <c r="K8" s="10" t="s">
        <v>10</v>
      </c>
      <c r="L8" s="14">
        <v>14363</v>
      </c>
      <c r="O8" s="10" t="s">
        <v>10</v>
      </c>
      <c r="P8" s="4">
        <v>272.92635416666667</v>
      </c>
    </row>
    <row r="9" spans="3:16" x14ac:dyDescent="0.3">
      <c r="C9" s="10" t="s">
        <v>8</v>
      </c>
      <c r="D9" s="14">
        <v>121076</v>
      </c>
      <c r="G9" s="10" t="s">
        <v>8</v>
      </c>
      <c r="H9" s="14">
        <v>4971</v>
      </c>
      <c r="K9" s="10" t="s">
        <v>8</v>
      </c>
      <c r="L9" s="14">
        <v>66387</v>
      </c>
      <c r="O9" s="10" t="s">
        <v>8</v>
      </c>
      <c r="P9" s="4">
        <v>366.43971859056865</v>
      </c>
    </row>
    <row r="10" spans="3:16" x14ac:dyDescent="0.3">
      <c r="C10" s="10" t="s">
        <v>7</v>
      </c>
      <c r="D10" s="14">
        <v>62427</v>
      </c>
      <c r="G10" s="10" t="s">
        <v>7</v>
      </c>
      <c r="H10" s="14">
        <v>5915</v>
      </c>
      <c r="K10" s="10" t="s">
        <v>7</v>
      </c>
      <c r="L10" s="14">
        <v>15009</v>
      </c>
      <c r="O10" s="10" t="s">
        <v>7</v>
      </c>
      <c r="P10" s="4">
        <v>559.93697700354176</v>
      </c>
    </row>
    <row r="11" spans="3:16" x14ac:dyDescent="0.3">
      <c r="C11" s="10" t="s">
        <v>13</v>
      </c>
      <c r="D11" s="14">
        <v>74425</v>
      </c>
      <c r="G11" s="10" t="s">
        <v>13</v>
      </c>
      <c r="H11" s="14">
        <v>2022</v>
      </c>
      <c r="K11" s="10" t="s">
        <v>13</v>
      </c>
      <c r="L11" s="14">
        <v>4865</v>
      </c>
      <c r="O11" s="10" t="s">
        <v>13</v>
      </c>
      <c r="P11" s="4">
        <v>311.4515584415584</v>
      </c>
    </row>
    <row r="12" spans="3:16" x14ac:dyDescent="0.3">
      <c r="C12" s="10" t="s">
        <v>17</v>
      </c>
      <c r="D12" s="14">
        <v>760667</v>
      </c>
      <c r="G12" s="10" t="s">
        <v>17</v>
      </c>
      <c r="H12" s="14">
        <v>33027</v>
      </c>
      <c r="K12" s="10" t="s">
        <v>17</v>
      </c>
      <c r="L12" s="14">
        <v>209064</v>
      </c>
      <c r="O12" s="10" t="s">
        <v>17</v>
      </c>
      <c r="P12" s="4">
        <v>3244.8722321657833</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FCDB-6657-4705-A4D8-05BD8C9D87FB}">
  <dimension ref="B1:L10"/>
  <sheetViews>
    <sheetView showGridLines="0" tabSelected="1" zoomScale="84" workbookViewId="0">
      <selection activeCell="I6" sqref="I6"/>
    </sheetView>
  </sheetViews>
  <sheetFormatPr defaultRowHeight="14.4" x14ac:dyDescent="0.3"/>
  <cols>
    <col min="2" max="2" width="32.109375" customWidth="1"/>
    <col min="3" max="3" width="32.44140625" customWidth="1"/>
    <col min="4" max="4" width="42.33203125" customWidth="1"/>
    <col min="5" max="5" width="23.44140625" customWidth="1"/>
    <col min="6" max="7" width="8.88671875" customWidth="1"/>
  </cols>
  <sheetData>
    <row r="1" spans="2:12" s="15" customFormat="1" ht="40.200000000000003" x14ac:dyDescent="0.8">
      <c r="E1" s="15" t="s">
        <v>25</v>
      </c>
      <c r="H1" s="18"/>
    </row>
    <row r="2" spans="2:12" ht="31.2" x14ac:dyDescent="0.6">
      <c r="J2" s="12"/>
    </row>
    <row r="3" spans="2:12" ht="15" thickBot="1" x14ac:dyDescent="0.35"/>
    <row r="4" spans="2:12" s="16" customFormat="1" ht="31.8" thickBot="1" x14ac:dyDescent="0.65">
      <c r="B4" s="17" t="s">
        <v>26</v>
      </c>
      <c r="C4" s="17" t="s">
        <v>27</v>
      </c>
      <c r="D4" s="17" t="s">
        <v>28</v>
      </c>
    </row>
    <row r="5" spans="2:12" s="12" customFormat="1" ht="31.8" thickBot="1" x14ac:dyDescent="0.65">
      <c r="B5" s="17">
        <f>SUM('Raw Data'!C2:C51)</f>
        <v>760667</v>
      </c>
      <c r="C5" s="17">
        <f>SUM('Raw Data'!D2:D51)</f>
        <v>33027</v>
      </c>
      <c r="D5" s="17">
        <f>SUM('Raw Data'!E2:E51)</f>
        <v>518576</v>
      </c>
    </row>
    <row r="6" spans="2:12" ht="25.2" x14ac:dyDescent="0.5">
      <c r="L6" s="13"/>
    </row>
    <row r="10" spans="2:12" ht="25.2" x14ac:dyDescent="0.5">
      <c r="C10"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Frooti Sinha</dc:creator>
  <cp:lastModifiedBy>Frooti Sinha</cp:lastModifiedBy>
  <dcterms:created xsi:type="dcterms:W3CDTF">2026-04-19T18:25:20Z</dcterms:created>
  <dcterms:modified xsi:type="dcterms:W3CDTF">2026-04-21T15:59:13Z</dcterms:modified>
</cp:coreProperties>
</file>